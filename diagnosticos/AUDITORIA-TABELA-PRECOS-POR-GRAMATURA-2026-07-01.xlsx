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Fornecedores" sheetId="1" state="visible" r:id="rId1"/>
    <sheet xmlns:r="http://schemas.openxmlformats.org/officeDocument/2006/relationships" name="Auditoria por Gramatura" sheetId="2" state="visible" r:id="rId2"/>
    <sheet xmlns:r="http://schemas.openxmlformats.org/officeDocument/2006/relationships" name="Preços Legados (Desativados)" sheetId="3" state="visible" r:id="rId3"/>
    <sheet xmlns:r="http://schemas.openxmlformats.org/officeDocument/2006/relationships" name="Inconsist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00"/>
    <numFmt numFmtId="165" formatCode="#,##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i val="1"/>
      <color rgb="006B7280"/>
      <sz val="10"/>
    </font>
    <font>
      <name val="Calibri"/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6" customWidth="1" min="5" max="5"/>
    <col width="13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Fornecedor</t>
        </is>
      </c>
      <c r="B1" s="1" t="inlineStr">
        <is>
          <t>Modelo</t>
        </is>
      </c>
      <c r="C1" s="1" t="inlineStr">
        <is>
          <t>Tamanho</t>
        </is>
      </c>
      <c r="D1" s="1" t="inlineStr">
        <is>
          <t>Gramatura</t>
        </is>
      </c>
      <c r="E1" s="1" t="inlineStr">
        <is>
          <t>Cor</t>
        </is>
      </c>
      <c r="F1" s="1" t="inlineStr">
        <is>
          <t>Preço/Kg (R$)</t>
        </is>
      </c>
      <c r="G1" s="1" t="inlineStr">
        <is>
          <t>Peso Milheiro (kg)</t>
        </is>
      </c>
      <c r="H1" s="1" t="inlineStr">
        <is>
          <t>Custo Milheiro (R$)</t>
        </is>
      </c>
      <c r="I1" s="1" t="inlineStr">
        <is>
          <t>Custo Unitário (R$/un)</t>
        </is>
      </c>
    </row>
    <row r="2">
      <c r="A2" s="2" t="inlineStr">
        <is>
          <t>Alquimia</t>
        </is>
      </c>
      <c r="B2" s="2" t="inlineStr">
        <is>
          <t>Alça Camiseta</t>
        </is>
      </c>
      <c r="C2" s="2" t="inlineStr">
        <is>
          <t>30x40</t>
        </is>
      </c>
      <c r="D2" s="2" t="inlineStr">
        <is>
          <t>0,04-0,06</t>
        </is>
      </c>
      <c r="E2" s="2" t="inlineStr">
        <is>
          <t>Branco/Preto</t>
        </is>
      </c>
      <c r="F2" s="3" t="n">
        <v>23</v>
      </c>
      <c r="G2" s="4" t="n">
        <v>4.4</v>
      </c>
      <c r="H2" s="3" t="n">
        <v>101.2</v>
      </c>
      <c r="I2" s="5">
        <f>H2/1000</f>
        <v/>
      </c>
    </row>
    <row r="3">
      <c r="A3" s="2" t="inlineStr">
        <is>
          <t>Marfel</t>
        </is>
      </c>
      <c r="B3" s="2" t="inlineStr">
        <is>
          <t>Alça Camiseta</t>
        </is>
      </c>
      <c r="C3" s="2" t="inlineStr">
        <is>
          <t>30x40</t>
        </is>
      </c>
      <c r="D3" s="2" t="inlineStr">
        <is>
          <t>0,05</t>
        </is>
      </c>
      <c r="E3" s="2" t="inlineStr">
        <is>
          <t>Branco/Preto</t>
        </is>
      </c>
      <c r="F3" s="3" t="n">
        <v>31</v>
      </c>
      <c r="G3" s="4" t="n">
        <v>5</v>
      </c>
      <c r="H3" s="3" t="n">
        <v>155</v>
      </c>
      <c r="I3" s="5">
        <f>H3/1000</f>
        <v/>
      </c>
    </row>
    <row r="4">
      <c r="A4" s="2" t="inlineStr">
        <is>
          <t>Alquimia</t>
        </is>
      </c>
      <c r="B4" s="2" t="inlineStr">
        <is>
          <t>Alça Camiseta</t>
        </is>
      </c>
      <c r="C4" s="2" t="inlineStr">
        <is>
          <t>30x40</t>
        </is>
      </c>
      <c r="D4" s="2" t="inlineStr">
        <is>
          <t>0,06</t>
        </is>
      </c>
      <c r="E4" s="2" t="inlineStr">
        <is>
          <t>Colorida</t>
        </is>
      </c>
      <c r="F4" s="3" t="n">
        <v>26.5</v>
      </c>
      <c r="G4" s="4" t="n">
        <v>6.2</v>
      </c>
      <c r="H4" s="3" t="n">
        <v>164.3</v>
      </c>
      <c r="I4" s="5">
        <f>H4/1000</f>
        <v/>
      </c>
    </row>
    <row r="5">
      <c r="A5" s="2" t="inlineStr">
        <is>
          <t>Marfel</t>
        </is>
      </c>
      <c r="B5" s="2" t="inlineStr">
        <is>
          <t>Alça Camiseta</t>
        </is>
      </c>
      <c r="C5" s="2" t="inlineStr">
        <is>
          <t>30x40</t>
        </is>
      </c>
      <c r="D5" s="2" t="inlineStr">
        <is>
          <t>0,05</t>
        </is>
      </c>
      <c r="E5" s="2" t="inlineStr">
        <is>
          <t>Colorida</t>
        </is>
      </c>
      <c r="F5" s="3" t="n">
        <v>34.2</v>
      </c>
      <c r="G5" s="4" t="n">
        <v>5</v>
      </c>
      <c r="H5" s="3" t="n">
        <v>171</v>
      </c>
      <c r="I5" s="5">
        <f>H5/1000</f>
        <v/>
      </c>
    </row>
    <row r="6">
      <c r="A6" s="2" t="inlineStr">
        <is>
          <t>Alquimia</t>
        </is>
      </c>
      <c r="B6" s="2" t="inlineStr">
        <is>
          <t>Alça Camiseta</t>
        </is>
      </c>
      <c r="C6" s="2" t="inlineStr">
        <is>
          <t>40x50</t>
        </is>
      </c>
      <c r="D6" s="2" t="inlineStr">
        <is>
          <t>0,05</t>
        </is>
      </c>
      <c r="E6" s="2" t="inlineStr">
        <is>
          <t>Branco/Preto</t>
        </is>
      </c>
      <c r="F6" s="3" t="n">
        <v>23</v>
      </c>
      <c r="G6" s="4" t="n">
        <v>9</v>
      </c>
      <c r="H6" s="3" t="n">
        <v>207</v>
      </c>
      <c r="I6" s="5">
        <f>H6/1000</f>
        <v/>
      </c>
    </row>
    <row r="7">
      <c r="A7" s="2" t="inlineStr">
        <is>
          <t>Marfel</t>
        </is>
      </c>
      <c r="B7" s="2" t="inlineStr">
        <is>
          <t>Alça Camiseta</t>
        </is>
      </c>
      <c r="C7" s="2" t="inlineStr">
        <is>
          <t>40x50</t>
        </is>
      </c>
      <c r="D7" s="2" t="inlineStr">
        <is>
          <t>0,05</t>
        </is>
      </c>
      <c r="E7" s="2" t="inlineStr">
        <is>
          <t>Branco/Preto</t>
        </is>
      </c>
      <c r="F7" s="3" t="n">
        <v>31</v>
      </c>
      <c r="G7" s="4" t="n">
        <v>9</v>
      </c>
      <c r="H7" s="3" t="n">
        <v>279</v>
      </c>
      <c r="I7" s="5">
        <f>H7/1000</f>
        <v/>
      </c>
    </row>
    <row r="8">
      <c r="A8" s="2" t="inlineStr">
        <is>
          <t>Alquimia</t>
        </is>
      </c>
      <c r="B8" s="2" t="inlineStr">
        <is>
          <t>Alça Camiseta</t>
        </is>
      </c>
      <c r="C8" s="2" t="inlineStr">
        <is>
          <t>40x50</t>
        </is>
      </c>
      <c r="D8" s="2" t="inlineStr">
        <is>
          <t>0,06</t>
        </is>
      </c>
      <c r="E8" s="2" t="inlineStr">
        <is>
          <t>Colorida</t>
        </is>
      </c>
      <c r="F8" s="3" t="n">
        <v>26.5</v>
      </c>
      <c r="G8" s="4" t="n">
        <v>11</v>
      </c>
      <c r="H8" s="3" t="n">
        <v>291.5</v>
      </c>
      <c r="I8" s="5">
        <f>H8/1000</f>
        <v/>
      </c>
    </row>
    <row r="9">
      <c r="A9" s="2" t="inlineStr">
        <is>
          <t>Marfel</t>
        </is>
      </c>
      <c r="B9" s="2" t="inlineStr">
        <is>
          <t>Alça Camiseta</t>
        </is>
      </c>
      <c r="C9" s="2" t="inlineStr">
        <is>
          <t>40x50</t>
        </is>
      </c>
      <c r="D9" s="2" t="inlineStr">
        <is>
          <t>0,05</t>
        </is>
      </c>
      <c r="E9" s="2" t="inlineStr">
        <is>
          <t>Colorida</t>
        </is>
      </c>
      <c r="F9" s="3" t="n">
        <v>34.2</v>
      </c>
      <c r="G9" s="4" t="n">
        <v>9</v>
      </c>
      <c r="H9" s="3" t="n">
        <v>307.8</v>
      </c>
      <c r="I9" s="5">
        <f>H9/1000</f>
        <v/>
      </c>
    </row>
    <row r="10">
      <c r="A10" s="2" t="inlineStr">
        <is>
          <t>Alquimia</t>
        </is>
      </c>
      <c r="B10" s="2" t="inlineStr">
        <is>
          <t>Alça Camiseta</t>
        </is>
      </c>
      <c r="C10" s="2" t="inlineStr">
        <is>
          <t>45x60</t>
        </is>
      </c>
      <c r="D10" s="2" t="inlineStr">
        <is>
          <t>0,05</t>
        </is>
      </c>
      <c r="E10" s="2" t="inlineStr">
        <is>
          <t>Branco/Preto</t>
        </is>
      </c>
      <c r="F10" s="3" t="n">
        <v>23</v>
      </c>
      <c r="G10" s="4" t="n">
        <v>12.2</v>
      </c>
      <c r="H10" s="3" t="n">
        <v>280.6</v>
      </c>
      <c r="I10" s="5">
        <f>H10/1000</f>
        <v/>
      </c>
    </row>
    <row r="11">
      <c r="A11" s="2" t="inlineStr">
        <is>
          <t>Marfel</t>
        </is>
      </c>
      <c r="B11" s="2" t="inlineStr">
        <is>
          <t>Alça Camiseta</t>
        </is>
      </c>
      <c r="C11" s="2" t="inlineStr">
        <is>
          <t>45x60</t>
        </is>
      </c>
      <c r="D11" s="2" t="inlineStr">
        <is>
          <t>0,05</t>
        </is>
      </c>
      <c r="E11" s="2" t="inlineStr">
        <is>
          <t>Branco/Preto</t>
        </is>
      </c>
      <c r="F11" s="3" t="n">
        <v>31</v>
      </c>
      <c r="G11" s="4" t="n">
        <v>13.5</v>
      </c>
      <c r="H11" s="3" t="n">
        <v>418.5</v>
      </c>
      <c r="I11" s="5">
        <f>H11/1000</f>
        <v/>
      </c>
    </row>
    <row r="12">
      <c r="A12" s="2" t="inlineStr">
        <is>
          <t>Alquimia</t>
        </is>
      </c>
      <c r="B12" s="2" t="inlineStr">
        <is>
          <t>Alça Camiseta</t>
        </is>
      </c>
      <c r="C12" s="2" t="inlineStr">
        <is>
          <t>45x60</t>
        </is>
      </c>
      <c r="D12" s="2" t="inlineStr">
        <is>
          <t>0,06</t>
        </is>
      </c>
      <c r="E12" s="2" t="inlineStr">
        <is>
          <t>Colorida</t>
        </is>
      </c>
      <c r="F12" s="3" t="n">
        <v>26.5</v>
      </c>
      <c r="G12" s="4" t="n">
        <v>14</v>
      </c>
      <c r="H12" s="3" t="n">
        <v>322</v>
      </c>
      <c r="I12" s="5">
        <f>H12/1000</f>
        <v/>
      </c>
    </row>
    <row r="13">
      <c r="A13" s="2" t="inlineStr">
        <is>
          <t>Marfel</t>
        </is>
      </c>
      <c r="B13" s="2" t="inlineStr">
        <is>
          <t>Alça Camiseta</t>
        </is>
      </c>
      <c r="C13" s="2" t="inlineStr">
        <is>
          <t>45x60</t>
        </is>
      </c>
      <c r="D13" s="2" t="inlineStr">
        <is>
          <t>0,05</t>
        </is>
      </c>
      <c r="E13" s="2" t="inlineStr">
        <is>
          <t>Colorida</t>
        </is>
      </c>
      <c r="F13" s="3" t="n">
        <v>34.2</v>
      </c>
      <c r="G13" s="4" t="n">
        <v>13.5</v>
      </c>
      <c r="H13" s="3" t="n">
        <v>461.7</v>
      </c>
      <c r="I13" s="5">
        <f>H13/1000</f>
        <v/>
      </c>
    </row>
    <row r="14">
      <c r="A14" s="2" t="inlineStr">
        <is>
          <t>Alquimia</t>
        </is>
      </c>
      <c r="B14" s="2" t="inlineStr">
        <is>
          <t>Alça Camiseta</t>
        </is>
      </c>
      <c r="C14" s="2" t="inlineStr">
        <is>
          <t>50x70</t>
        </is>
      </c>
      <c r="D14" s="2" t="inlineStr">
        <is>
          <t>0,06</t>
        </is>
      </c>
      <c r="E14" s="2" t="inlineStr">
        <is>
          <t>Branco/Preto</t>
        </is>
      </c>
      <c r="F14" s="3" t="n">
        <v>23</v>
      </c>
      <c r="G14" s="4" t="n">
        <v>18.9</v>
      </c>
      <c r="H14" s="3" t="n">
        <v>434.7</v>
      </c>
      <c r="I14" s="5">
        <f>H14/1000</f>
        <v/>
      </c>
    </row>
    <row r="15">
      <c r="A15" s="2" t="inlineStr">
        <is>
          <t>Marfel</t>
        </is>
      </c>
      <c r="B15" s="2" t="inlineStr">
        <is>
          <t>Alça Camiseta</t>
        </is>
      </c>
      <c r="C15" s="2" t="inlineStr">
        <is>
          <t>50x70</t>
        </is>
      </c>
      <c r="D15" s="2" t="inlineStr">
        <is>
          <t>0,06</t>
        </is>
      </c>
      <c r="E15" s="2" t="inlineStr">
        <is>
          <t>Branco/Preto</t>
        </is>
      </c>
      <c r="F15" s="3" t="n">
        <v>31</v>
      </c>
      <c r="G15" s="4" t="n">
        <v>19</v>
      </c>
      <c r="H15" s="3" t="n">
        <v>589</v>
      </c>
      <c r="I15" s="5">
        <f>H15/1000</f>
        <v/>
      </c>
    </row>
    <row r="16">
      <c r="A16" s="2" t="inlineStr">
        <is>
          <t>Alquimia</t>
        </is>
      </c>
      <c r="B16" s="2" t="inlineStr">
        <is>
          <t>Alça Camiseta</t>
        </is>
      </c>
      <c r="C16" s="2" t="inlineStr">
        <is>
          <t>50x70</t>
        </is>
      </c>
      <c r="D16" s="2" t="inlineStr">
        <is>
          <t>0,06</t>
        </is>
      </c>
      <c r="E16" s="2" t="inlineStr">
        <is>
          <t>Colorida</t>
        </is>
      </c>
      <c r="F16" s="3" t="n">
        <v>26.5</v>
      </c>
      <c r="G16" s="4" t="n">
        <v>19</v>
      </c>
      <c r="H16" s="3" t="n">
        <v>371</v>
      </c>
      <c r="I16" s="5">
        <f>H16/1000</f>
        <v/>
      </c>
    </row>
    <row r="17">
      <c r="A17" s="2" t="inlineStr">
        <is>
          <t>Marfel</t>
        </is>
      </c>
      <c r="B17" s="2" t="inlineStr">
        <is>
          <t>Alça Camiseta</t>
        </is>
      </c>
      <c r="C17" s="2" t="inlineStr">
        <is>
          <t>50x70</t>
        </is>
      </c>
      <c r="D17" s="2" t="inlineStr">
        <is>
          <t>0,06</t>
        </is>
      </c>
      <c r="E17" s="2" t="inlineStr">
        <is>
          <t>Colorida</t>
        </is>
      </c>
      <c r="F17" s="3" t="n">
        <v>34.2</v>
      </c>
      <c r="G17" s="4" t="n">
        <v>19</v>
      </c>
      <c r="H17" s="3" t="n">
        <v>649.8</v>
      </c>
      <c r="I17" s="5">
        <f>H17/1000</f>
        <v/>
      </c>
    </row>
    <row r="18">
      <c r="A18" s="2" t="inlineStr">
        <is>
          <t>Alquimia</t>
        </is>
      </c>
      <c r="B18" s="2" t="inlineStr">
        <is>
          <t>Alça Camiseta</t>
        </is>
      </c>
      <c r="C18" s="2" t="inlineStr">
        <is>
          <t>60x80</t>
        </is>
      </c>
      <c r="D18" s="2" t="inlineStr">
        <is>
          <t>0,07</t>
        </is>
      </c>
      <c r="E18" s="2" t="inlineStr">
        <is>
          <t>Branco/Preto</t>
        </is>
      </c>
      <c r="F18" s="3" t="n">
        <v>23</v>
      </c>
      <c r="G18" s="4" t="n">
        <v>30</v>
      </c>
      <c r="H18" s="3" t="n">
        <v>690</v>
      </c>
      <c r="I18" s="5">
        <f>H18/1000</f>
        <v/>
      </c>
    </row>
    <row r="19">
      <c r="A19" s="2" t="inlineStr">
        <is>
          <t>Marfel</t>
        </is>
      </c>
      <c r="B19" s="2" t="inlineStr">
        <is>
          <t>Alça Camiseta</t>
        </is>
      </c>
      <c r="C19" s="2" t="inlineStr">
        <is>
          <t>60x80</t>
        </is>
      </c>
      <c r="D19" s="2" t="inlineStr">
        <is>
          <t>0,06</t>
        </is>
      </c>
      <c r="E19" s="2" t="inlineStr">
        <is>
          <t>Branco/Preto</t>
        </is>
      </c>
      <c r="F19" s="3" t="n">
        <v>31</v>
      </c>
      <c r="G19" s="4" t="n">
        <v>28</v>
      </c>
      <c r="H19" s="3" t="n">
        <v>868</v>
      </c>
      <c r="I19" s="5">
        <f>H19/1000</f>
        <v/>
      </c>
    </row>
    <row r="20">
      <c r="A20" s="2" t="inlineStr">
        <is>
          <t>Alquimia</t>
        </is>
      </c>
      <c r="B20" s="2" t="inlineStr">
        <is>
          <t>Alça Camiseta</t>
        </is>
      </c>
      <c r="C20" s="2" t="inlineStr">
        <is>
          <t>60x80</t>
        </is>
      </c>
      <c r="D20" s="2" t="inlineStr">
        <is>
          <t>0,07</t>
        </is>
      </c>
      <c r="E20" s="2" t="inlineStr">
        <is>
          <t>Colorida</t>
        </is>
      </c>
      <c r="F20" s="3" t="n">
        <v>26.5</v>
      </c>
      <c r="G20" s="4" t="n">
        <v>30</v>
      </c>
      <c r="H20" s="3" t="n">
        <v>795</v>
      </c>
      <c r="I20" s="5">
        <f>H20/1000</f>
        <v/>
      </c>
    </row>
    <row r="21">
      <c r="A21" s="2" t="inlineStr">
        <is>
          <t>Marfel</t>
        </is>
      </c>
      <c r="B21" s="2" t="inlineStr">
        <is>
          <t>Alça Camiseta</t>
        </is>
      </c>
      <c r="C21" s="2" t="inlineStr">
        <is>
          <t>60x80</t>
        </is>
      </c>
      <c r="D21" s="2" t="inlineStr">
        <is>
          <t>0,06</t>
        </is>
      </c>
      <c r="E21" s="2" t="inlineStr">
        <is>
          <t>Colorida</t>
        </is>
      </c>
      <c r="F21" s="3" t="n">
        <v>34.2</v>
      </c>
      <c r="G21" s="4" t="n">
        <v>28</v>
      </c>
      <c r="H21" s="3" t="n">
        <v>957.6</v>
      </c>
      <c r="I21" s="5">
        <f>H21/1000</f>
        <v/>
      </c>
    </row>
    <row r="22">
      <c r="A22" s="2" t="inlineStr">
        <is>
          <t>Alquimia</t>
        </is>
      </c>
      <c r="B22" s="2" t="inlineStr">
        <is>
          <t>Alça Fita</t>
        </is>
      </c>
      <c r="C22" s="2" t="inlineStr">
        <is>
          <t>27x40</t>
        </is>
      </c>
      <c r="D22" s="2" t="inlineStr">
        <is>
          <t>0,15</t>
        </is>
      </c>
      <c r="E22" s="2" t="inlineStr">
        <is>
          <t>Branco/Preto</t>
        </is>
      </c>
      <c r="F22" s="3" t="n">
        <v>28.75</v>
      </c>
      <c r="G22" s="4" t="n">
        <v>19</v>
      </c>
      <c r="H22" s="3" t="n">
        <v>546</v>
      </c>
      <c r="I22" s="5">
        <f>H22/1000</f>
        <v/>
      </c>
    </row>
    <row r="23">
      <c r="A23" s="2" t="inlineStr">
        <is>
          <t>Alquimia</t>
        </is>
      </c>
      <c r="B23" s="2" t="inlineStr">
        <is>
          <t>Alça Fita</t>
        </is>
      </c>
      <c r="C23" s="2" t="inlineStr">
        <is>
          <t>27x40</t>
        </is>
      </c>
      <c r="D23" s="2" t="inlineStr">
        <is>
          <t>0,15</t>
        </is>
      </c>
      <c r="E23" s="2" t="inlineStr">
        <is>
          <t>Colorida</t>
        </is>
      </c>
      <c r="F23" s="3" t="n">
        <v>29.9</v>
      </c>
      <c r="G23" s="4" t="n">
        <v>19</v>
      </c>
      <c r="H23" s="3" t="n">
        <v>568.1</v>
      </c>
      <c r="I23" s="5">
        <f>H23/1000</f>
        <v/>
      </c>
    </row>
    <row r="24">
      <c r="A24" s="2" t="inlineStr">
        <is>
          <t>Marfel</t>
        </is>
      </c>
      <c r="B24" s="2" t="inlineStr">
        <is>
          <t>Alça Fita</t>
        </is>
      </c>
      <c r="C24" s="2" t="inlineStr">
        <is>
          <t>27x40</t>
        </is>
      </c>
      <c r="D24" s="2" t="inlineStr">
        <is>
          <t>0,15</t>
        </is>
      </c>
      <c r="E24" s="2" t="inlineStr">
        <is>
          <t>Diversas cores</t>
        </is>
      </c>
      <c r="F24" s="3" t="n">
        <v>38.7</v>
      </c>
      <c r="G24" s="4" t="n">
        <v>19</v>
      </c>
      <c r="H24" s="3" t="n">
        <v>735.3</v>
      </c>
      <c r="I24" s="5">
        <f>H24/1000</f>
        <v/>
      </c>
    </row>
    <row r="25">
      <c r="A25" s="2" t="inlineStr">
        <is>
          <t>Marfel</t>
        </is>
      </c>
      <c r="B25" s="2" t="inlineStr">
        <is>
          <t>Alça Fita</t>
        </is>
      </c>
      <c r="C25" s="2" t="inlineStr">
        <is>
          <t>27x40</t>
        </is>
      </c>
      <c r="D25" s="2" t="inlineStr">
        <is>
          <t>0,15</t>
        </is>
      </c>
      <c r="E25" s="2" t="inlineStr">
        <is>
          <t>Ouro/Rosa Neon</t>
        </is>
      </c>
      <c r="F25" s="3" t="n">
        <v>43.2</v>
      </c>
      <c r="G25" s="4" t="n">
        <v>19</v>
      </c>
      <c r="H25" s="3" t="n">
        <v>820.8</v>
      </c>
      <c r="I25" s="5">
        <f>H25/1000</f>
        <v/>
      </c>
    </row>
    <row r="26">
      <c r="A26" s="2" t="inlineStr">
        <is>
          <t>Alquimia</t>
        </is>
      </c>
      <c r="B26" s="2" t="inlineStr">
        <is>
          <t>Alça Fita</t>
        </is>
      </c>
      <c r="C26" s="2" t="inlineStr">
        <is>
          <t>30x45</t>
        </is>
      </c>
      <c r="D26" s="2" t="inlineStr">
        <is>
          <t>0,15</t>
        </is>
      </c>
      <c r="E26" s="2" t="inlineStr">
        <is>
          <t>Branco/Preto</t>
        </is>
      </c>
      <c r="F26" s="3" t="n">
        <v>28.75</v>
      </c>
      <c r="G26" s="4" t="n">
        <v>23</v>
      </c>
      <c r="H26" s="3" t="n">
        <v>661.25</v>
      </c>
      <c r="I26" s="5">
        <f>H26/1000</f>
        <v/>
      </c>
    </row>
    <row r="27">
      <c r="A27" s="2" t="inlineStr">
        <is>
          <t>Marfel</t>
        </is>
      </c>
      <c r="B27" s="2" t="inlineStr">
        <is>
          <t>Alça Fita</t>
        </is>
      </c>
      <c r="C27" s="2" t="inlineStr">
        <is>
          <t>30x45</t>
        </is>
      </c>
      <c r="D27" s="2" t="inlineStr">
        <is>
          <t>0,13</t>
        </is>
      </c>
      <c r="E27" s="2" t="inlineStr">
        <is>
          <t>Branco/Preto</t>
        </is>
      </c>
      <c r="F27" s="3" t="n">
        <v>38.7</v>
      </c>
      <c r="G27" s="4" t="n">
        <v>20</v>
      </c>
      <c r="H27" s="3" t="n">
        <v>774</v>
      </c>
      <c r="I27" s="5">
        <f>H27/1000</f>
        <v/>
      </c>
    </row>
    <row r="28">
      <c r="A28" s="2" t="inlineStr">
        <is>
          <t>Alquimia</t>
        </is>
      </c>
      <c r="B28" s="2" t="inlineStr">
        <is>
          <t>Alça Fita</t>
        </is>
      </c>
      <c r="C28" s="2" t="inlineStr">
        <is>
          <t>30x45</t>
        </is>
      </c>
      <c r="D28" s="2" t="inlineStr">
        <is>
          <t>0,15</t>
        </is>
      </c>
      <c r="E28" s="2" t="inlineStr">
        <is>
          <t>Colorida</t>
        </is>
      </c>
      <c r="F28" s="3" t="n">
        <v>29.9</v>
      </c>
      <c r="G28" s="4" t="n">
        <v>23</v>
      </c>
      <c r="H28" s="3" t="n">
        <v>687.7</v>
      </c>
      <c r="I28" s="5">
        <f>H28/1000</f>
        <v/>
      </c>
    </row>
    <row r="29">
      <c r="A29" s="2" t="inlineStr">
        <is>
          <t>Marfel</t>
        </is>
      </c>
      <c r="B29" s="2" t="inlineStr">
        <is>
          <t>Alça Fita</t>
        </is>
      </c>
      <c r="C29" s="2" t="inlineStr">
        <is>
          <t>30x45</t>
        </is>
      </c>
      <c r="D29" s="2" t="inlineStr">
        <is>
          <t>0,15</t>
        </is>
      </c>
      <c r="E29" s="2" t="inlineStr">
        <is>
          <t>Diversas cores</t>
        </is>
      </c>
      <c r="F29" s="3" t="n">
        <v>38.7</v>
      </c>
      <c r="G29" s="4" t="n">
        <v>24.2</v>
      </c>
      <c r="H29" s="3" t="n">
        <v>936.54</v>
      </c>
      <c r="I29" s="5">
        <f>H29/1000</f>
        <v/>
      </c>
    </row>
    <row r="30">
      <c r="A30" s="2" t="inlineStr">
        <is>
          <t>Marfel</t>
        </is>
      </c>
      <c r="B30" s="2" t="inlineStr">
        <is>
          <t>Alça Fita</t>
        </is>
      </c>
      <c r="C30" s="2" t="inlineStr">
        <is>
          <t>30x45</t>
        </is>
      </c>
      <c r="D30" s="2" t="inlineStr">
        <is>
          <t>0,15</t>
        </is>
      </c>
      <c r="E30" s="2" t="inlineStr">
        <is>
          <t>Ouro/Rosa Neon</t>
        </is>
      </c>
      <c r="F30" s="3" t="n">
        <v>43.2</v>
      </c>
      <c r="G30" s="4" t="n">
        <v>24.2</v>
      </c>
      <c r="H30" s="3" t="n">
        <v>1045.44</v>
      </c>
      <c r="I30" s="5">
        <f>H30/1000</f>
        <v/>
      </c>
    </row>
    <row r="31">
      <c r="A31" s="2" t="inlineStr">
        <is>
          <t>Alquimia</t>
        </is>
      </c>
      <c r="B31" s="2" t="inlineStr">
        <is>
          <t>Alça Fita</t>
        </is>
      </c>
      <c r="C31" s="2" t="inlineStr">
        <is>
          <t>40x50</t>
        </is>
      </c>
      <c r="D31" s="2" t="inlineStr">
        <is>
          <t>0,15</t>
        </is>
      </c>
      <c r="E31" s="2" t="inlineStr">
        <is>
          <t>Branco/Preto</t>
        </is>
      </c>
      <c r="F31" s="3" t="n">
        <v>28.75</v>
      </c>
      <c r="G31" s="4" t="n">
        <v>32</v>
      </c>
      <c r="H31" s="3" t="n">
        <v>920</v>
      </c>
      <c r="I31" s="5">
        <f>H31/1000</f>
        <v/>
      </c>
    </row>
    <row r="32">
      <c r="A32" s="2" t="inlineStr">
        <is>
          <t>Marfel</t>
        </is>
      </c>
      <c r="B32" s="2" t="inlineStr">
        <is>
          <t>Alça Fita</t>
        </is>
      </c>
      <c r="C32" s="2" t="inlineStr">
        <is>
          <t>40x50</t>
        </is>
      </c>
      <c r="D32" s="2" t="inlineStr">
        <is>
          <t>0,13</t>
        </is>
      </c>
      <c r="E32" s="2" t="inlineStr">
        <is>
          <t>Branco/Preto</t>
        </is>
      </c>
      <c r="F32" s="3" t="n">
        <v>38.7</v>
      </c>
      <c r="G32" s="4" t="n">
        <v>29</v>
      </c>
      <c r="H32" s="3" t="n">
        <v>1122.3</v>
      </c>
      <c r="I32" s="5">
        <f>H32/1000</f>
        <v/>
      </c>
    </row>
    <row r="33">
      <c r="A33" s="2" t="inlineStr">
        <is>
          <t>Alquimia</t>
        </is>
      </c>
      <c r="B33" s="2" t="inlineStr">
        <is>
          <t>Alça Fita</t>
        </is>
      </c>
      <c r="C33" s="2" t="inlineStr">
        <is>
          <t>40x50</t>
        </is>
      </c>
      <c r="D33" s="2" t="inlineStr">
        <is>
          <t>0,15</t>
        </is>
      </c>
      <c r="E33" s="2" t="inlineStr">
        <is>
          <t>Colorida</t>
        </is>
      </c>
      <c r="F33" s="3" t="n">
        <v>29.9</v>
      </c>
      <c r="G33" s="4" t="n">
        <v>32</v>
      </c>
      <c r="H33" s="3" t="n">
        <v>956.8</v>
      </c>
      <c r="I33" s="5">
        <f>H33/1000</f>
        <v/>
      </c>
    </row>
    <row r="34">
      <c r="A34" s="2" t="inlineStr">
        <is>
          <t>Marfel</t>
        </is>
      </c>
      <c r="B34" s="2" t="inlineStr">
        <is>
          <t>Alça Fita</t>
        </is>
      </c>
      <c r="C34" s="2" t="inlineStr">
        <is>
          <t>40x50</t>
        </is>
      </c>
      <c r="D34" s="2" t="inlineStr">
        <is>
          <t>0,15</t>
        </is>
      </c>
      <c r="E34" s="2" t="inlineStr">
        <is>
          <t>Diversas cores</t>
        </is>
      </c>
      <c r="F34" s="3" t="n">
        <v>38.7</v>
      </c>
      <c r="G34" s="4" t="n">
        <v>34</v>
      </c>
      <c r="H34" s="3" t="n">
        <v>1315.8</v>
      </c>
      <c r="I34" s="5">
        <f>H34/1000</f>
        <v/>
      </c>
    </row>
    <row r="35">
      <c r="A35" s="2" t="inlineStr">
        <is>
          <t>Marfel</t>
        </is>
      </c>
      <c r="B35" s="2" t="inlineStr">
        <is>
          <t>Alça Fita</t>
        </is>
      </c>
      <c r="C35" s="2" t="inlineStr">
        <is>
          <t>40x50</t>
        </is>
      </c>
      <c r="D35" s="2" t="inlineStr">
        <is>
          <t>0,15</t>
        </is>
      </c>
      <c r="E35" s="2" t="inlineStr">
        <is>
          <t>Ouro/Rosa Neon</t>
        </is>
      </c>
      <c r="F35" s="3" t="n">
        <v>43.2</v>
      </c>
      <c r="G35" s="4" t="n">
        <v>34</v>
      </c>
      <c r="H35" s="3" t="n">
        <v>1468.8</v>
      </c>
      <c r="I35" s="5">
        <f>H35/1000</f>
        <v/>
      </c>
    </row>
    <row r="36">
      <c r="A36" s="2" t="inlineStr">
        <is>
          <t>Alquimia</t>
        </is>
      </c>
      <c r="B36" s="2" t="inlineStr">
        <is>
          <t>Alça Fita</t>
        </is>
      </c>
      <c r="C36" s="2" t="inlineStr">
        <is>
          <t>45x55</t>
        </is>
      </c>
      <c r="D36" s="2" t="inlineStr">
        <is>
          <t>0,15</t>
        </is>
      </c>
      <c r="E36" s="2" t="inlineStr">
        <is>
          <t>Branco/Preto</t>
        </is>
      </c>
      <c r="F36" s="3" t="n">
        <v>28.75</v>
      </c>
      <c r="G36" s="4" t="n">
        <v>40</v>
      </c>
      <c r="H36" s="3" t="n">
        <v>1150</v>
      </c>
      <c r="I36" s="5">
        <f>H36/1000</f>
        <v/>
      </c>
    </row>
    <row r="37">
      <c r="A37" s="2" t="inlineStr">
        <is>
          <t>Marfel</t>
        </is>
      </c>
      <c r="B37" s="2" t="inlineStr">
        <is>
          <t>Alça Fita</t>
        </is>
      </c>
      <c r="C37" s="2" t="inlineStr">
        <is>
          <t>45x55</t>
        </is>
      </c>
      <c r="D37" s="2" t="inlineStr">
        <is>
          <t>0,13</t>
        </is>
      </c>
      <c r="E37" s="2" t="inlineStr">
        <is>
          <t>Branco/Preto</t>
        </is>
      </c>
      <c r="F37" s="3" t="n">
        <v>38.7</v>
      </c>
      <c r="G37" s="4" t="n">
        <v>37.5</v>
      </c>
      <c r="H37" s="3" t="n">
        <v>1451.25</v>
      </c>
      <c r="I37" s="5">
        <f>H37/1000</f>
        <v/>
      </c>
    </row>
    <row r="38">
      <c r="A38" s="2" t="inlineStr">
        <is>
          <t>Alquimia</t>
        </is>
      </c>
      <c r="B38" s="2" t="inlineStr">
        <is>
          <t>Alça Fita</t>
        </is>
      </c>
      <c r="C38" s="2" t="inlineStr">
        <is>
          <t>45x55</t>
        </is>
      </c>
      <c r="D38" s="2" t="inlineStr">
        <is>
          <t>0,15</t>
        </is>
      </c>
      <c r="E38" s="2" t="inlineStr">
        <is>
          <t>Colorida</t>
        </is>
      </c>
      <c r="F38" s="3" t="n">
        <v>29.9</v>
      </c>
      <c r="G38" s="4" t="n">
        <v>40</v>
      </c>
      <c r="H38" s="3" t="n">
        <v>1196</v>
      </c>
      <c r="I38" s="5">
        <f>H38/1000</f>
        <v/>
      </c>
    </row>
    <row r="39">
      <c r="A39" s="2" t="inlineStr">
        <is>
          <t>Marfel</t>
        </is>
      </c>
      <c r="B39" s="2" t="inlineStr">
        <is>
          <t>Alça Fita</t>
        </is>
      </c>
      <c r="C39" s="2" t="inlineStr">
        <is>
          <t>45x55</t>
        </is>
      </c>
      <c r="D39" s="2" t="inlineStr">
        <is>
          <t>0,15</t>
        </is>
      </c>
      <c r="E39" s="2" t="inlineStr">
        <is>
          <t>Diversas cores</t>
        </is>
      </c>
      <c r="F39" s="3" t="n">
        <v>38.7</v>
      </c>
      <c r="G39" s="4" t="n">
        <v>40.8</v>
      </c>
      <c r="H39" s="3" t="n">
        <v>1578.96</v>
      </c>
      <c r="I39" s="5">
        <f>H39/1000</f>
        <v/>
      </c>
    </row>
    <row r="40">
      <c r="A40" s="2" t="inlineStr">
        <is>
          <t>Marfel</t>
        </is>
      </c>
      <c r="B40" s="2" t="inlineStr">
        <is>
          <t>Alça Fita</t>
        </is>
      </c>
      <c r="C40" s="2" t="inlineStr">
        <is>
          <t>45x55</t>
        </is>
      </c>
      <c r="D40" s="2" t="inlineStr">
        <is>
          <t>0,15</t>
        </is>
      </c>
      <c r="E40" s="2" t="inlineStr">
        <is>
          <t>Ouro/Rosa Neon</t>
        </is>
      </c>
      <c r="F40" s="3" t="n">
        <v>43.2</v>
      </c>
      <c r="G40" s="4" t="n">
        <v>40.8</v>
      </c>
      <c r="H40" s="3" t="n">
        <v>1762.56</v>
      </c>
      <c r="I40" s="5">
        <f>H40/1000</f>
        <v/>
      </c>
    </row>
    <row r="41">
      <c r="A41" s="2" t="inlineStr">
        <is>
          <t>Alquimia</t>
        </is>
      </c>
      <c r="B41" s="2" t="inlineStr">
        <is>
          <t>Alça Vazada</t>
        </is>
      </c>
      <c r="C41" s="2" t="inlineStr">
        <is>
          <t>20x30</t>
        </is>
      </c>
      <c r="D41" s="2" t="inlineStr">
        <is>
          <t>0,08</t>
        </is>
      </c>
      <c r="E41" s="2" t="inlineStr">
        <is>
          <t>Branco/Preto</t>
        </is>
      </c>
      <c r="F41" s="3" t="n">
        <v>25.3</v>
      </c>
      <c r="G41" s="4" t="n">
        <v>4.6</v>
      </c>
      <c r="H41" s="3" t="n">
        <v>116.3</v>
      </c>
      <c r="I41" s="5">
        <f>H41/1000</f>
        <v/>
      </c>
    </row>
    <row r="42">
      <c r="A42" s="2" t="inlineStr">
        <is>
          <t>Alquimia</t>
        </is>
      </c>
      <c r="B42" s="2" t="inlineStr">
        <is>
          <t>Alça Vazada</t>
        </is>
      </c>
      <c r="C42" s="2" t="inlineStr">
        <is>
          <t>20x30</t>
        </is>
      </c>
      <c r="D42" s="2" t="inlineStr">
        <is>
          <t>0,08</t>
        </is>
      </c>
      <c r="E42" s="2" t="inlineStr">
        <is>
          <t>Colorida</t>
        </is>
      </c>
      <c r="F42" s="3" t="n">
        <v>26.5</v>
      </c>
      <c r="G42" s="4" t="n">
        <v>4.6</v>
      </c>
      <c r="H42" s="3" t="n">
        <v>121.9</v>
      </c>
      <c r="I42" s="5">
        <f>H42/1000</f>
        <v/>
      </c>
    </row>
    <row r="43">
      <c r="A43" s="2" t="inlineStr">
        <is>
          <t>Marfel</t>
        </is>
      </c>
      <c r="B43" s="2" t="inlineStr">
        <is>
          <t>Alça Vazada</t>
        </is>
      </c>
      <c r="C43" s="2" t="inlineStr">
        <is>
          <t>20x30</t>
        </is>
      </c>
      <c r="D43" s="2" t="inlineStr">
        <is>
          <t>0,08</t>
        </is>
      </c>
      <c r="E43" s="2" t="inlineStr">
        <is>
          <t>Diversas cores</t>
        </is>
      </c>
      <c r="F43" s="3" t="n">
        <v>34.2</v>
      </c>
      <c r="G43" s="4" t="n">
        <v>5</v>
      </c>
      <c r="H43" s="3" t="n">
        <v>171</v>
      </c>
      <c r="I43" s="5">
        <f>H43/1000</f>
        <v/>
      </c>
    </row>
    <row r="44">
      <c r="A44" s="2" t="inlineStr">
        <is>
          <t>Alquimia</t>
        </is>
      </c>
      <c r="B44" s="2" t="inlineStr">
        <is>
          <t>Alça Vazada</t>
        </is>
      </c>
      <c r="C44" s="2" t="inlineStr">
        <is>
          <t>25x35</t>
        </is>
      </c>
      <c r="D44" s="2" t="inlineStr">
        <is>
          <t>0,08</t>
        </is>
      </c>
      <c r="E44" s="2" t="inlineStr">
        <is>
          <t>Branco/Preto</t>
        </is>
      </c>
      <c r="F44" s="3" t="n">
        <v>25.3</v>
      </c>
      <c r="G44" s="4" t="n">
        <v>7</v>
      </c>
      <c r="H44" s="3" t="n">
        <v>177.1</v>
      </c>
      <c r="I44" s="5">
        <f>H44/1000</f>
        <v/>
      </c>
    </row>
    <row r="45">
      <c r="A45" s="2" t="inlineStr">
        <is>
          <t>Alquimia</t>
        </is>
      </c>
      <c r="B45" s="2" t="inlineStr">
        <is>
          <t>Alça Vazada</t>
        </is>
      </c>
      <c r="C45" s="2" t="inlineStr">
        <is>
          <t>25x35</t>
        </is>
      </c>
      <c r="D45" s="2" t="inlineStr">
        <is>
          <t>0,08</t>
        </is>
      </c>
      <c r="E45" s="2" t="inlineStr">
        <is>
          <t>Colorida</t>
        </is>
      </c>
      <c r="F45" s="3" t="n">
        <v>26.5</v>
      </c>
      <c r="G45" s="4" t="n">
        <v>7</v>
      </c>
      <c r="H45" s="3" t="n">
        <v>185.5</v>
      </c>
      <c r="I45" s="5">
        <f>H45/1000</f>
        <v/>
      </c>
    </row>
    <row r="46">
      <c r="A46" s="2" t="inlineStr">
        <is>
          <t>Marfel</t>
        </is>
      </c>
      <c r="B46" s="2" t="inlineStr">
        <is>
          <t>Alça Vazada</t>
        </is>
      </c>
      <c r="C46" s="2" t="inlineStr">
        <is>
          <t>25x35</t>
        </is>
      </c>
      <c r="D46" s="2" t="inlineStr">
        <is>
          <t>0,08</t>
        </is>
      </c>
      <c r="E46" s="2" t="inlineStr">
        <is>
          <t>Diversas cores</t>
        </is>
      </c>
      <c r="F46" s="3" t="n">
        <v>34.2</v>
      </c>
      <c r="G46" s="4" t="n">
        <v>7</v>
      </c>
      <c r="H46" s="3" t="n">
        <v>239.4</v>
      </c>
      <c r="I46" s="5">
        <f>H46/1000</f>
        <v/>
      </c>
    </row>
    <row r="47">
      <c r="A47" s="2" t="inlineStr">
        <is>
          <t>Alquimia</t>
        </is>
      </c>
      <c r="B47" s="2" t="inlineStr">
        <is>
          <t>Alça Vazada</t>
        </is>
      </c>
      <c r="C47" s="2" t="inlineStr">
        <is>
          <t>30x40</t>
        </is>
      </c>
      <c r="D47" s="2" t="inlineStr">
        <is>
          <t>0,08</t>
        </is>
      </c>
      <c r="E47" s="2" t="inlineStr">
        <is>
          <t>Branco/Preto</t>
        </is>
      </c>
      <c r="F47" s="3" t="n">
        <v>25.3</v>
      </c>
      <c r="G47" s="4" t="n">
        <v>9.9</v>
      </c>
      <c r="H47" s="3" t="n">
        <v>250.4</v>
      </c>
      <c r="I47" s="5">
        <f>H47/1000</f>
        <v/>
      </c>
    </row>
    <row r="48">
      <c r="A48" s="2" t="inlineStr">
        <is>
          <t>Alquimia</t>
        </is>
      </c>
      <c r="B48" s="2" t="inlineStr">
        <is>
          <t>Alça Vazada</t>
        </is>
      </c>
      <c r="C48" s="2" t="inlineStr">
        <is>
          <t>30x40</t>
        </is>
      </c>
      <c r="D48" s="2" t="inlineStr">
        <is>
          <t>0,08</t>
        </is>
      </c>
      <c r="E48" s="2" t="inlineStr">
        <is>
          <t>Colorida</t>
        </is>
      </c>
      <c r="F48" s="3" t="n">
        <v>26.5</v>
      </c>
      <c r="G48" s="4" t="n">
        <v>10</v>
      </c>
      <c r="H48" s="3" t="n">
        <v>265</v>
      </c>
      <c r="I48" s="5">
        <f>H48/1000</f>
        <v/>
      </c>
    </row>
    <row r="49">
      <c r="A49" s="2" t="inlineStr">
        <is>
          <t>Marfel</t>
        </is>
      </c>
      <c r="B49" s="2" t="inlineStr">
        <is>
          <t>Alça Vazada</t>
        </is>
      </c>
      <c r="C49" s="2" t="inlineStr">
        <is>
          <t>30x40</t>
        </is>
      </c>
      <c r="D49" s="2" t="inlineStr">
        <is>
          <t>0,08</t>
        </is>
      </c>
      <c r="E49" s="2" t="inlineStr">
        <is>
          <t>Diversas cores</t>
        </is>
      </c>
      <c r="F49" s="3" t="n">
        <v>34.2</v>
      </c>
      <c r="G49" s="4" t="n">
        <v>10</v>
      </c>
      <c r="H49" s="3" t="n">
        <v>342</v>
      </c>
      <c r="I49" s="5">
        <f>H49/1000</f>
        <v/>
      </c>
    </row>
    <row r="50">
      <c r="A50" s="2" t="inlineStr">
        <is>
          <t>Alquimia</t>
        </is>
      </c>
      <c r="B50" s="2" t="inlineStr">
        <is>
          <t>Alça Vazada</t>
        </is>
      </c>
      <c r="C50" s="2" t="inlineStr">
        <is>
          <t>40x50</t>
        </is>
      </c>
      <c r="D50" s="2" t="inlineStr">
        <is>
          <t>0,08</t>
        </is>
      </c>
      <c r="E50" s="2" t="inlineStr">
        <is>
          <t>Branco/Preto</t>
        </is>
      </c>
      <c r="F50" s="3" t="n">
        <v>25.3</v>
      </c>
      <c r="G50" s="4" t="n">
        <v>16</v>
      </c>
      <c r="H50" s="3" t="n">
        <v>404.8</v>
      </c>
      <c r="I50" s="5">
        <f>H50/1000</f>
        <v/>
      </c>
    </row>
    <row r="51">
      <c r="A51" s="2" t="inlineStr">
        <is>
          <t>Alquimia</t>
        </is>
      </c>
      <c r="B51" s="2" t="inlineStr">
        <is>
          <t>Alça Vazada</t>
        </is>
      </c>
      <c r="C51" s="2" t="inlineStr">
        <is>
          <t>40x50</t>
        </is>
      </c>
      <c r="D51" s="2" t="inlineStr">
        <is>
          <t>0,08</t>
        </is>
      </c>
      <c r="E51" s="2" t="inlineStr">
        <is>
          <t>Colorida (transp.)</t>
        </is>
      </c>
      <c r="F51" s="3" t="n">
        <v>26.5</v>
      </c>
      <c r="G51" s="4" t="n">
        <v>16</v>
      </c>
      <c r="H51" s="3" t="n">
        <v>424</v>
      </c>
      <c r="I51" s="5">
        <f>H51/1000</f>
        <v/>
      </c>
    </row>
    <row r="52">
      <c r="A52" s="2" t="inlineStr">
        <is>
          <t>Marfel</t>
        </is>
      </c>
      <c r="B52" s="2" t="inlineStr">
        <is>
          <t>Alça Vazada</t>
        </is>
      </c>
      <c r="C52" s="2" t="inlineStr">
        <is>
          <t>40x50</t>
        </is>
      </c>
      <c r="D52" s="2" t="inlineStr">
        <is>
          <t>0,10</t>
        </is>
      </c>
      <c r="E52" s="2" t="inlineStr">
        <is>
          <t>Diversas cores</t>
        </is>
      </c>
      <c r="F52" s="3" t="n">
        <v>34.2</v>
      </c>
      <c r="G52" s="4" t="n">
        <v>20</v>
      </c>
      <c r="H52" s="3" t="n">
        <v>684</v>
      </c>
      <c r="I52" s="5">
        <f>H52/1000</f>
        <v/>
      </c>
    </row>
    <row r="53">
      <c r="A53" s="2" t="inlineStr">
        <is>
          <t>Marfel</t>
        </is>
      </c>
      <c r="B53" s="2" t="inlineStr">
        <is>
          <t>Alça Vazada</t>
        </is>
      </c>
      <c r="C53" s="2" t="inlineStr">
        <is>
          <t>45x60</t>
        </is>
      </c>
      <c r="D53" s="2" t="inlineStr">
        <is>
          <t>0,12</t>
        </is>
      </c>
      <c r="E53" s="2" t="inlineStr">
        <is>
          <t>Diversas cores</t>
        </is>
      </c>
      <c r="F53" s="3" t="n">
        <v>34.2</v>
      </c>
      <c r="G53" s="4" t="n">
        <v>32.5</v>
      </c>
      <c r="H53" s="3" t="n">
        <v>1111.5</v>
      </c>
      <c r="I53" s="5">
        <f>H53/1000</f>
        <v/>
      </c>
    </row>
    <row r="54">
      <c r="A54" s="2" t="inlineStr">
        <is>
          <t>Alquimia</t>
        </is>
      </c>
      <c r="B54" s="2" t="inlineStr">
        <is>
          <t>Alça Vazada</t>
        </is>
      </c>
      <c r="C54" s="2" t="inlineStr">
        <is>
          <t>50x60</t>
        </is>
      </c>
      <c r="D54" s="2" t="inlineStr">
        <is>
          <t>0,10</t>
        </is>
      </c>
      <c r="E54" s="2" t="inlineStr">
        <is>
          <t>Branco/Preto</t>
        </is>
      </c>
      <c r="F54" s="3" t="n">
        <v>25.3</v>
      </c>
      <c r="G54" s="4" t="n">
        <v>30</v>
      </c>
      <c r="H54" s="3" t="n">
        <v>759</v>
      </c>
      <c r="I54" s="5">
        <f>H54/1000</f>
        <v/>
      </c>
    </row>
    <row r="55">
      <c r="A55" s="2" t="inlineStr">
        <is>
          <t>Alquimia</t>
        </is>
      </c>
      <c r="B55" s="2" t="inlineStr">
        <is>
          <t>Alça Vazada</t>
        </is>
      </c>
      <c r="C55" s="2" t="inlineStr">
        <is>
          <t>50x60</t>
        </is>
      </c>
      <c r="D55" s="2" t="inlineStr">
        <is>
          <t>0,10</t>
        </is>
      </c>
      <c r="E55" s="2" t="inlineStr">
        <is>
          <t>Colorida (transp.)</t>
        </is>
      </c>
      <c r="F55" s="3" t="n">
        <v>26.5</v>
      </c>
      <c r="G55" s="4" t="n">
        <v>30</v>
      </c>
      <c r="H55" s="3" t="n">
        <v>795</v>
      </c>
      <c r="I55" s="5">
        <f>H55/1000</f>
        <v/>
      </c>
    </row>
    <row r="57">
      <c r="A57" s="6" t="inlineStr">
        <is>
          <t>Fonte: FornecedorCusto. Custo Unitário = Custo Milheiro ÷ 1000. Quando um Modelo+Tamanho+Gramatura tem várias cores, usa-se o MAIOR custo entre elas por fornecedor (critério conservador de segurança financeira).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5" customWidth="1" min="8" max="8"/>
    <col width="17" customWidth="1" min="9" max="9"/>
    <col width="13" customWidth="1" min="10" max="10"/>
    <col width="16" customWidth="1" min="11" max="11"/>
    <col width="15" customWidth="1" min="12" max="12"/>
    <col width="12" customWidth="1" min="13" max="13"/>
    <col width="15" customWidth="1" min="14" max="14"/>
    <col width="46" customWidth="1" min="15" max="15"/>
  </cols>
  <sheetData>
    <row r="1">
      <c r="A1" s="7" t="inlineStr">
        <is>
          <t>AUDITORIA DE PREÇOS POR GRAMATURA — Serigraph e Cia</t>
        </is>
      </c>
    </row>
    <row r="2">
      <c r="A2" s="6" t="inlineStr">
        <is>
          <t>Preço agora calculado por Modelo + Tamanho + Gramatura (antes era só Modelo + Tamanho, misturando gramaturas de custo diferente). Mesma regra de sempre: maior custo entre fornecedores + R$0,30/un + margem por faixa.</t>
        </is>
      </c>
    </row>
    <row r="4" ht="30" customHeight="1">
      <c r="A4" s="1" t="inlineStr">
        <is>
          <t>Produto</t>
        </is>
      </c>
      <c r="B4" s="1" t="inlineStr">
        <is>
          <t>Tamanho</t>
        </is>
      </c>
      <c r="C4" s="1" t="inlineStr">
        <is>
          <t>Gramatura</t>
        </is>
      </c>
      <c r="D4" s="1" t="inlineStr">
        <is>
          <t>Faixa de Quantidade</t>
        </is>
      </c>
      <c r="E4" s="1" t="inlineStr">
        <is>
          <t>Qtd. de referência</t>
        </is>
      </c>
      <c r="F4" s="1" t="inlineStr">
        <is>
          <t>Valor Marfel (R$/un)</t>
        </is>
      </c>
      <c r="G4" s="1" t="inlineStr">
        <is>
          <t>Valor Alquimia (R$/un)</t>
        </is>
      </c>
      <c r="H4" s="1" t="inlineStr">
        <is>
          <t>Maior valor utilizado (R$/un)</t>
        </is>
      </c>
      <c r="I4" s="1" t="inlineStr">
        <is>
          <t>Fornecedor utilizado</t>
        </is>
      </c>
      <c r="J4" s="1" t="inlineStr">
        <is>
          <t>Acréscimo operacional (R$/un)</t>
        </is>
      </c>
      <c r="K4" s="1" t="inlineStr">
        <is>
          <t>Acréscimo operacional (R$0,30 × qtd.)</t>
        </is>
      </c>
      <c r="L4" s="1" t="inlineStr">
        <is>
          <t>Custo total atualizado (R$/un)</t>
        </is>
      </c>
      <c r="M4" s="1" t="inlineStr">
        <is>
          <t>Percentual aplicado</t>
        </is>
      </c>
      <c r="N4" s="1" t="inlineStr">
        <is>
          <t>Preço final de venda (R$/un)</t>
        </is>
      </c>
      <c r="O4" s="1" t="inlineStr">
        <is>
          <t>Observações</t>
        </is>
      </c>
    </row>
    <row r="5">
      <c r="A5" s="8" t="inlineStr">
        <is>
          <t>Alça Camiseta</t>
        </is>
      </c>
      <c r="B5" s="9" t="inlineStr">
        <is>
          <t>30x40</t>
        </is>
      </c>
      <c r="C5" s="9" t="inlineStr">
        <is>
          <t>0,04-0,06</t>
        </is>
      </c>
      <c r="D5" s="9" t="inlineStr">
        <is>
          <t>100–199</t>
        </is>
      </c>
      <c r="E5" s="9" t="n">
        <v>100</v>
      </c>
      <c r="F5" s="10" t="n">
        <v>0</v>
      </c>
      <c r="G5" s="10" t="n">
        <v>0.1012</v>
      </c>
      <c r="H5" s="10" t="n">
        <v>0.1012</v>
      </c>
      <c r="I5" s="11" t="inlineStr">
        <is>
          <t>Alquimia (unico)</t>
        </is>
      </c>
      <c r="J5" s="10" t="n">
        <v>0.3</v>
      </c>
      <c r="K5" s="12">
        <f>J5*E5</f>
        <v/>
      </c>
      <c r="L5" s="12">
        <f>H5+J5</f>
        <v/>
      </c>
      <c r="M5" s="13" t="n">
        <v>1</v>
      </c>
      <c r="N5" s="12">
        <f>L5*(1+M5)</f>
        <v/>
      </c>
      <c r="O5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6">
      <c r="A6" s="8" t="inlineStr">
        <is>
          <t>Alça Camiseta</t>
        </is>
      </c>
      <c r="B6" s="9" t="inlineStr">
        <is>
          <t>30x40</t>
        </is>
      </c>
      <c r="C6" s="9" t="inlineStr">
        <is>
          <t>0,04-0,06</t>
        </is>
      </c>
      <c r="D6" s="9" t="inlineStr">
        <is>
          <t>200–299</t>
        </is>
      </c>
      <c r="E6" s="9" t="n">
        <v>200</v>
      </c>
      <c r="F6" s="10" t="n">
        <v>0</v>
      </c>
      <c r="G6" s="10" t="n">
        <v>0.1012</v>
      </c>
      <c r="H6" s="10" t="n">
        <v>0.1012</v>
      </c>
      <c r="I6" s="11" t="inlineStr">
        <is>
          <t>Alquimia (unico)</t>
        </is>
      </c>
      <c r="J6" s="10" t="n">
        <v>0.3</v>
      </c>
      <c r="K6" s="12">
        <f>J6*E6</f>
        <v/>
      </c>
      <c r="L6" s="12">
        <f>H6+J6</f>
        <v/>
      </c>
      <c r="M6" s="13" t="n">
        <v>0.75</v>
      </c>
      <c r="N6" s="12">
        <f>L6*(1+M6)</f>
        <v/>
      </c>
      <c r="O6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7">
      <c r="A7" s="8" t="inlineStr">
        <is>
          <t>Alça Camiseta</t>
        </is>
      </c>
      <c r="B7" s="9" t="inlineStr">
        <is>
          <t>30x40</t>
        </is>
      </c>
      <c r="C7" s="9" t="inlineStr">
        <is>
          <t>0,04-0,06</t>
        </is>
      </c>
      <c r="D7" s="9" t="inlineStr">
        <is>
          <t>300–399</t>
        </is>
      </c>
      <c r="E7" s="9" t="n">
        <v>300</v>
      </c>
      <c r="F7" s="10" t="n">
        <v>0</v>
      </c>
      <c r="G7" s="10" t="n">
        <v>0.1012</v>
      </c>
      <c r="H7" s="10" t="n">
        <v>0.1012</v>
      </c>
      <c r="I7" s="11" t="inlineStr">
        <is>
          <t>Alquimia (unico)</t>
        </is>
      </c>
      <c r="J7" s="10" t="n">
        <v>0.3</v>
      </c>
      <c r="K7" s="12">
        <f>J7*E7</f>
        <v/>
      </c>
      <c r="L7" s="12">
        <f>H7+J7</f>
        <v/>
      </c>
      <c r="M7" s="13" t="n">
        <v>0.7</v>
      </c>
      <c r="N7" s="12">
        <f>L7*(1+M7)</f>
        <v/>
      </c>
      <c r="O7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8">
      <c r="A8" s="8" t="inlineStr">
        <is>
          <t>Alça Camiseta</t>
        </is>
      </c>
      <c r="B8" s="9" t="inlineStr">
        <is>
          <t>30x40</t>
        </is>
      </c>
      <c r="C8" s="9" t="inlineStr">
        <is>
          <t>0,04-0,06</t>
        </is>
      </c>
      <c r="D8" s="9" t="inlineStr">
        <is>
          <t>400–499</t>
        </is>
      </c>
      <c r="E8" s="9" t="n">
        <v>400</v>
      </c>
      <c r="F8" s="10" t="n">
        <v>0</v>
      </c>
      <c r="G8" s="10" t="n">
        <v>0.1012</v>
      </c>
      <c r="H8" s="10" t="n">
        <v>0.1012</v>
      </c>
      <c r="I8" s="11" t="inlineStr">
        <is>
          <t>Alquimia (unico)</t>
        </is>
      </c>
      <c r="J8" s="10" t="n">
        <v>0.3</v>
      </c>
      <c r="K8" s="12">
        <f>J8*E8</f>
        <v/>
      </c>
      <c r="L8" s="12">
        <f>H8+J8</f>
        <v/>
      </c>
      <c r="M8" s="13" t="n">
        <v>0.65</v>
      </c>
      <c r="N8" s="12">
        <f>L8*(1+M8)</f>
        <v/>
      </c>
      <c r="O8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9">
      <c r="A9" s="8" t="inlineStr">
        <is>
          <t>Alça Camiseta</t>
        </is>
      </c>
      <c r="B9" s="9" t="inlineStr">
        <is>
          <t>30x40</t>
        </is>
      </c>
      <c r="C9" s="9" t="inlineStr">
        <is>
          <t>0,04-0,06</t>
        </is>
      </c>
      <c r="D9" s="9" t="inlineStr">
        <is>
          <t>500–599</t>
        </is>
      </c>
      <c r="E9" s="9" t="n">
        <v>500</v>
      </c>
      <c r="F9" s="10" t="n">
        <v>0</v>
      </c>
      <c r="G9" s="10" t="n">
        <v>0.1012</v>
      </c>
      <c r="H9" s="10" t="n">
        <v>0.1012</v>
      </c>
      <c r="I9" s="11" t="inlineStr">
        <is>
          <t>Alquimia (unico)</t>
        </is>
      </c>
      <c r="J9" s="10" t="n">
        <v>0.3</v>
      </c>
      <c r="K9" s="12">
        <f>J9*E9</f>
        <v/>
      </c>
      <c r="L9" s="12">
        <f>H9+J9</f>
        <v/>
      </c>
      <c r="M9" s="13" t="n">
        <v>0.6</v>
      </c>
      <c r="N9" s="12">
        <f>L9*(1+M9)</f>
        <v/>
      </c>
      <c r="O9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0">
      <c r="A10" s="8" t="inlineStr">
        <is>
          <t>Alça Camiseta</t>
        </is>
      </c>
      <c r="B10" s="9" t="inlineStr">
        <is>
          <t>30x40</t>
        </is>
      </c>
      <c r="C10" s="9" t="inlineStr">
        <is>
          <t>0,04-0,06</t>
        </is>
      </c>
      <c r="D10" s="9" t="inlineStr">
        <is>
          <t>600–699</t>
        </is>
      </c>
      <c r="E10" s="9" t="n">
        <v>600</v>
      </c>
      <c r="F10" s="10" t="n">
        <v>0</v>
      </c>
      <c r="G10" s="10" t="n">
        <v>0.1012</v>
      </c>
      <c r="H10" s="10" t="n">
        <v>0.1012</v>
      </c>
      <c r="I10" s="11" t="inlineStr">
        <is>
          <t>Alquimia (unico)</t>
        </is>
      </c>
      <c r="J10" s="10" t="n">
        <v>0.3</v>
      </c>
      <c r="K10" s="12">
        <f>J10*E10</f>
        <v/>
      </c>
      <c r="L10" s="12">
        <f>H10+J10</f>
        <v/>
      </c>
      <c r="M10" s="13" t="n">
        <v>0.57</v>
      </c>
      <c r="N10" s="12">
        <f>L10*(1+M10)</f>
        <v/>
      </c>
      <c r="O10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1">
      <c r="A11" s="8" t="inlineStr">
        <is>
          <t>Alça Camiseta</t>
        </is>
      </c>
      <c r="B11" s="9" t="inlineStr">
        <is>
          <t>30x40</t>
        </is>
      </c>
      <c r="C11" s="9" t="inlineStr">
        <is>
          <t>0,04-0,06</t>
        </is>
      </c>
      <c r="D11" s="9" t="inlineStr">
        <is>
          <t>700–799</t>
        </is>
      </c>
      <c r="E11" s="9" t="n">
        <v>700</v>
      </c>
      <c r="F11" s="10" t="n">
        <v>0</v>
      </c>
      <c r="G11" s="10" t="n">
        <v>0.1012</v>
      </c>
      <c r="H11" s="10" t="n">
        <v>0.1012</v>
      </c>
      <c r="I11" s="11" t="inlineStr">
        <is>
          <t>Alquimia (unico)</t>
        </is>
      </c>
      <c r="J11" s="10" t="n">
        <v>0.3</v>
      </c>
      <c r="K11" s="12">
        <f>J11*E11</f>
        <v/>
      </c>
      <c r="L11" s="12">
        <f>H11+J11</f>
        <v/>
      </c>
      <c r="M11" s="13" t="n">
        <v>0.54</v>
      </c>
      <c r="N11" s="12">
        <f>L11*(1+M11)</f>
        <v/>
      </c>
      <c r="O11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2">
      <c r="A12" s="8" t="inlineStr">
        <is>
          <t>Alça Camiseta</t>
        </is>
      </c>
      <c r="B12" s="9" t="inlineStr">
        <is>
          <t>30x40</t>
        </is>
      </c>
      <c r="C12" s="9" t="inlineStr">
        <is>
          <t>0,04-0,06</t>
        </is>
      </c>
      <c r="D12" s="9" t="inlineStr">
        <is>
          <t>800–899</t>
        </is>
      </c>
      <c r="E12" s="9" t="n">
        <v>800</v>
      </c>
      <c r="F12" s="10" t="n">
        <v>0</v>
      </c>
      <c r="G12" s="10" t="n">
        <v>0.1012</v>
      </c>
      <c r="H12" s="10" t="n">
        <v>0.1012</v>
      </c>
      <c r="I12" s="11" t="inlineStr">
        <is>
          <t>Alquimia (unico)</t>
        </is>
      </c>
      <c r="J12" s="10" t="n">
        <v>0.3</v>
      </c>
      <c r="K12" s="12">
        <f>J12*E12</f>
        <v/>
      </c>
      <c r="L12" s="12">
        <f>H12+J12</f>
        <v/>
      </c>
      <c r="M12" s="13" t="n">
        <v>0.51</v>
      </c>
      <c r="N12" s="12">
        <f>L12*(1+M12)</f>
        <v/>
      </c>
      <c r="O12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3">
      <c r="A13" s="8" t="inlineStr">
        <is>
          <t>Alça Camiseta</t>
        </is>
      </c>
      <c r="B13" s="9" t="inlineStr">
        <is>
          <t>30x40</t>
        </is>
      </c>
      <c r="C13" s="9" t="inlineStr">
        <is>
          <t>0,04-0,06</t>
        </is>
      </c>
      <c r="D13" s="9" t="inlineStr">
        <is>
          <t>900–999</t>
        </is>
      </c>
      <c r="E13" s="9" t="n">
        <v>900</v>
      </c>
      <c r="F13" s="10" t="n">
        <v>0</v>
      </c>
      <c r="G13" s="10" t="n">
        <v>0.1012</v>
      </c>
      <c r="H13" s="10" t="n">
        <v>0.1012</v>
      </c>
      <c r="I13" s="11" t="inlineStr">
        <is>
          <t>Alquimia (unico)</t>
        </is>
      </c>
      <c r="J13" s="10" t="n">
        <v>0.3</v>
      </c>
      <c r="K13" s="12">
        <f>J13*E13</f>
        <v/>
      </c>
      <c r="L13" s="12">
        <f>H13+J13</f>
        <v/>
      </c>
      <c r="M13" s="13" t="n">
        <v>0.48</v>
      </c>
      <c r="N13" s="12">
        <f>L13*(1+M13)</f>
        <v/>
      </c>
      <c r="O13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4">
      <c r="A14" s="8" t="inlineStr">
        <is>
          <t>Alça Camiseta</t>
        </is>
      </c>
      <c r="B14" s="9" t="inlineStr">
        <is>
          <t>30x40</t>
        </is>
      </c>
      <c r="C14" s="9" t="inlineStr">
        <is>
          <t>0,04-0,06</t>
        </is>
      </c>
      <c r="D14" s="9" t="inlineStr">
        <is>
          <t>1000+</t>
        </is>
      </c>
      <c r="E14" s="9" t="n">
        <v>1000</v>
      </c>
      <c r="F14" s="10" t="n">
        <v>0</v>
      </c>
      <c r="G14" s="10" t="n">
        <v>0.1012</v>
      </c>
      <c r="H14" s="10" t="n">
        <v>0.1012</v>
      </c>
      <c r="I14" s="11" t="inlineStr">
        <is>
          <t>Alquimia (unico)</t>
        </is>
      </c>
      <c r="J14" s="10" t="n">
        <v>0.3</v>
      </c>
      <c r="K14" s="12">
        <f>J14*E14</f>
        <v/>
      </c>
      <c r="L14" s="12">
        <f>H14+J14</f>
        <v/>
      </c>
      <c r="M14" s="13" t="n">
        <v>0.4</v>
      </c>
      <c r="N14" s="12">
        <f>L14*(1+M14)</f>
        <v/>
      </c>
      <c r="O14" s="14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5">
      <c r="A15" s="8" t="inlineStr">
        <is>
          <t>Alça Camiseta</t>
        </is>
      </c>
      <c r="B15" s="9" t="inlineStr">
        <is>
          <t>30x40</t>
        </is>
      </c>
      <c r="C15" s="9" t="inlineStr">
        <is>
          <t>0,05</t>
        </is>
      </c>
      <c r="D15" s="9" t="inlineStr">
        <is>
          <t>100–199</t>
        </is>
      </c>
      <c r="E15" s="9" t="n">
        <v>100</v>
      </c>
      <c r="F15" s="10" t="n">
        <v>0.171</v>
      </c>
      <c r="G15" s="10" t="n">
        <v>0</v>
      </c>
      <c r="H15" s="10" t="n">
        <v>0.171</v>
      </c>
      <c r="I15" s="11" t="inlineStr">
        <is>
          <t>Marfel (unico)</t>
        </is>
      </c>
      <c r="J15" s="10" t="n">
        <v>0.3</v>
      </c>
      <c r="K15" s="12">
        <f>J15*E15</f>
        <v/>
      </c>
      <c r="L15" s="12">
        <f>H15+J15</f>
        <v/>
      </c>
      <c r="M15" s="13" t="n">
        <v>1</v>
      </c>
      <c r="N15" s="12">
        <f>L15*(1+M15)</f>
        <v/>
      </c>
      <c r="O15" s="14" t="inlineStr">
        <is>
          <t>Sem custo cadastrado da Alquimia para esta gramatura — usado apenas o valor da Marfel.</t>
        </is>
      </c>
    </row>
    <row r="16">
      <c r="A16" s="8" t="inlineStr">
        <is>
          <t>Alça Camiseta</t>
        </is>
      </c>
      <c r="B16" s="9" t="inlineStr">
        <is>
          <t>30x40</t>
        </is>
      </c>
      <c r="C16" s="9" t="inlineStr">
        <is>
          <t>0,05</t>
        </is>
      </c>
      <c r="D16" s="9" t="inlineStr">
        <is>
          <t>200–299</t>
        </is>
      </c>
      <c r="E16" s="9" t="n">
        <v>200</v>
      </c>
      <c r="F16" s="10" t="n">
        <v>0.171</v>
      </c>
      <c r="G16" s="10" t="n">
        <v>0</v>
      </c>
      <c r="H16" s="10" t="n">
        <v>0.171</v>
      </c>
      <c r="I16" s="11" t="inlineStr">
        <is>
          <t>Marfel (unico)</t>
        </is>
      </c>
      <c r="J16" s="10" t="n">
        <v>0.3</v>
      </c>
      <c r="K16" s="12">
        <f>J16*E16</f>
        <v/>
      </c>
      <c r="L16" s="12">
        <f>H16+J16</f>
        <v/>
      </c>
      <c r="M16" s="13" t="n">
        <v>0.75</v>
      </c>
      <c r="N16" s="12">
        <f>L16*(1+M16)</f>
        <v/>
      </c>
      <c r="O16" s="14" t="inlineStr">
        <is>
          <t>Sem custo cadastrado da Alquimia para esta gramatura — usado apenas o valor da Marfel.</t>
        </is>
      </c>
    </row>
    <row r="17">
      <c r="A17" s="8" t="inlineStr">
        <is>
          <t>Alça Camiseta</t>
        </is>
      </c>
      <c r="B17" s="9" t="inlineStr">
        <is>
          <t>30x40</t>
        </is>
      </c>
      <c r="C17" s="9" t="inlineStr">
        <is>
          <t>0,05</t>
        </is>
      </c>
      <c r="D17" s="9" t="inlineStr">
        <is>
          <t>300–399</t>
        </is>
      </c>
      <c r="E17" s="9" t="n">
        <v>300</v>
      </c>
      <c r="F17" s="10" t="n">
        <v>0.171</v>
      </c>
      <c r="G17" s="10" t="n">
        <v>0</v>
      </c>
      <c r="H17" s="10" t="n">
        <v>0.171</v>
      </c>
      <c r="I17" s="11" t="inlineStr">
        <is>
          <t>Marfel (unico)</t>
        </is>
      </c>
      <c r="J17" s="10" t="n">
        <v>0.3</v>
      </c>
      <c r="K17" s="12">
        <f>J17*E17</f>
        <v/>
      </c>
      <c r="L17" s="12">
        <f>H17+J17</f>
        <v/>
      </c>
      <c r="M17" s="13" t="n">
        <v>0.7</v>
      </c>
      <c r="N17" s="12">
        <f>L17*(1+M17)</f>
        <v/>
      </c>
      <c r="O17" s="14" t="inlineStr">
        <is>
          <t>Sem custo cadastrado da Alquimia para esta gramatura — usado apenas o valor da Marfel.</t>
        </is>
      </c>
    </row>
    <row r="18">
      <c r="A18" s="8" t="inlineStr">
        <is>
          <t>Alça Camiseta</t>
        </is>
      </c>
      <c r="B18" s="9" t="inlineStr">
        <is>
          <t>30x40</t>
        </is>
      </c>
      <c r="C18" s="9" t="inlineStr">
        <is>
          <t>0,05</t>
        </is>
      </c>
      <c r="D18" s="9" t="inlineStr">
        <is>
          <t>400–499</t>
        </is>
      </c>
      <c r="E18" s="9" t="n">
        <v>400</v>
      </c>
      <c r="F18" s="10" t="n">
        <v>0.171</v>
      </c>
      <c r="G18" s="10" t="n">
        <v>0</v>
      </c>
      <c r="H18" s="10" t="n">
        <v>0.171</v>
      </c>
      <c r="I18" s="11" t="inlineStr">
        <is>
          <t>Marfel (unico)</t>
        </is>
      </c>
      <c r="J18" s="10" t="n">
        <v>0.3</v>
      </c>
      <c r="K18" s="12">
        <f>J18*E18</f>
        <v/>
      </c>
      <c r="L18" s="12">
        <f>H18+J18</f>
        <v/>
      </c>
      <c r="M18" s="13" t="n">
        <v>0.65</v>
      </c>
      <c r="N18" s="12">
        <f>L18*(1+M18)</f>
        <v/>
      </c>
      <c r="O18" s="14" t="inlineStr">
        <is>
          <t>Sem custo cadastrado da Alquimia para esta gramatura — usado apenas o valor da Marfel.</t>
        </is>
      </c>
    </row>
    <row r="19">
      <c r="A19" s="8" t="inlineStr">
        <is>
          <t>Alça Camiseta</t>
        </is>
      </c>
      <c r="B19" s="9" t="inlineStr">
        <is>
          <t>30x40</t>
        </is>
      </c>
      <c r="C19" s="9" t="inlineStr">
        <is>
          <t>0,05</t>
        </is>
      </c>
      <c r="D19" s="9" t="inlineStr">
        <is>
          <t>500–599</t>
        </is>
      </c>
      <c r="E19" s="9" t="n">
        <v>500</v>
      </c>
      <c r="F19" s="10" t="n">
        <v>0.171</v>
      </c>
      <c r="G19" s="10" t="n">
        <v>0</v>
      </c>
      <c r="H19" s="10" t="n">
        <v>0.171</v>
      </c>
      <c r="I19" s="11" t="inlineStr">
        <is>
          <t>Marfel (unico)</t>
        </is>
      </c>
      <c r="J19" s="10" t="n">
        <v>0.3</v>
      </c>
      <c r="K19" s="12">
        <f>J19*E19</f>
        <v/>
      </c>
      <c r="L19" s="12">
        <f>H19+J19</f>
        <v/>
      </c>
      <c r="M19" s="13" t="n">
        <v>0.6</v>
      </c>
      <c r="N19" s="12">
        <f>L19*(1+M19)</f>
        <v/>
      </c>
      <c r="O19" s="14" t="inlineStr">
        <is>
          <t>Sem custo cadastrado da Alquimia para esta gramatura — usado apenas o valor da Marfel.</t>
        </is>
      </c>
    </row>
    <row r="20">
      <c r="A20" s="8" t="inlineStr">
        <is>
          <t>Alça Camiseta</t>
        </is>
      </c>
      <c r="B20" s="9" t="inlineStr">
        <is>
          <t>30x40</t>
        </is>
      </c>
      <c r="C20" s="9" t="inlineStr">
        <is>
          <t>0,05</t>
        </is>
      </c>
      <c r="D20" s="9" t="inlineStr">
        <is>
          <t>600–699</t>
        </is>
      </c>
      <c r="E20" s="9" t="n">
        <v>600</v>
      </c>
      <c r="F20" s="10" t="n">
        <v>0.171</v>
      </c>
      <c r="G20" s="10" t="n">
        <v>0</v>
      </c>
      <c r="H20" s="10" t="n">
        <v>0.171</v>
      </c>
      <c r="I20" s="11" t="inlineStr">
        <is>
          <t>Marfel (unico)</t>
        </is>
      </c>
      <c r="J20" s="10" t="n">
        <v>0.3</v>
      </c>
      <c r="K20" s="12">
        <f>J20*E20</f>
        <v/>
      </c>
      <c r="L20" s="12">
        <f>H20+J20</f>
        <v/>
      </c>
      <c r="M20" s="13" t="n">
        <v>0.57</v>
      </c>
      <c r="N20" s="12">
        <f>L20*(1+M20)</f>
        <v/>
      </c>
      <c r="O20" s="14" t="inlineStr">
        <is>
          <t>Sem custo cadastrado da Alquimia para esta gramatura — usado apenas o valor da Marfel.</t>
        </is>
      </c>
    </row>
    <row r="21">
      <c r="A21" s="8" t="inlineStr">
        <is>
          <t>Alça Camiseta</t>
        </is>
      </c>
      <c r="B21" s="9" t="inlineStr">
        <is>
          <t>30x40</t>
        </is>
      </c>
      <c r="C21" s="9" t="inlineStr">
        <is>
          <t>0,05</t>
        </is>
      </c>
      <c r="D21" s="9" t="inlineStr">
        <is>
          <t>700–799</t>
        </is>
      </c>
      <c r="E21" s="9" t="n">
        <v>700</v>
      </c>
      <c r="F21" s="10" t="n">
        <v>0.171</v>
      </c>
      <c r="G21" s="10" t="n">
        <v>0</v>
      </c>
      <c r="H21" s="10" t="n">
        <v>0.171</v>
      </c>
      <c r="I21" s="11" t="inlineStr">
        <is>
          <t>Marfel (unico)</t>
        </is>
      </c>
      <c r="J21" s="10" t="n">
        <v>0.3</v>
      </c>
      <c r="K21" s="12">
        <f>J21*E21</f>
        <v/>
      </c>
      <c r="L21" s="12">
        <f>H21+J21</f>
        <v/>
      </c>
      <c r="M21" s="13" t="n">
        <v>0.54</v>
      </c>
      <c r="N21" s="12">
        <f>L21*(1+M21)</f>
        <v/>
      </c>
      <c r="O21" s="14" t="inlineStr">
        <is>
          <t>Sem custo cadastrado da Alquimia para esta gramatura — usado apenas o valor da Marfel.</t>
        </is>
      </c>
    </row>
    <row r="22">
      <c r="A22" s="8" t="inlineStr">
        <is>
          <t>Alça Camiseta</t>
        </is>
      </c>
      <c r="B22" s="9" t="inlineStr">
        <is>
          <t>30x40</t>
        </is>
      </c>
      <c r="C22" s="9" t="inlineStr">
        <is>
          <t>0,05</t>
        </is>
      </c>
      <c r="D22" s="9" t="inlineStr">
        <is>
          <t>800–899</t>
        </is>
      </c>
      <c r="E22" s="9" t="n">
        <v>800</v>
      </c>
      <c r="F22" s="10" t="n">
        <v>0.171</v>
      </c>
      <c r="G22" s="10" t="n">
        <v>0</v>
      </c>
      <c r="H22" s="10" t="n">
        <v>0.171</v>
      </c>
      <c r="I22" s="11" t="inlineStr">
        <is>
          <t>Marfel (unico)</t>
        </is>
      </c>
      <c r="J22" s="10" t="n">
        <v>0.3</v>
      </c>
      <c r="K22" s="12">
        <f>J22*E22</f>
        <v/>
      </c>
      <c r="L22" s="12">
        <f>H22+J22</f>
        <v/>
      </c>
      <c r="M22" s="13" t="n">
        <v>0.51</v>
      </c>
      <c r="N22" s="12">
        <f>L22*(1+M22)</f>
        <v/>
      </c>
      <c r="O22" s="14" t="inlineStr">
        <is>
          <t>Sem custo cadastrado da Alquimia para esta gramatura — usado apenas o valor da Marfel.</t>
        </is>
      </c>
    </row>
    <row r="23">
      <c r="A23" s="8" t="inlineStr">
        <is>
          <t>Alça Camiseta</t>
        </is>
      </c>
      <c r="B23" s="9" t="inlineStr">
        <is>
          <t>30x40</t>
        </is>
      </c>
      <c r="C23" s="9" t="inlineStr">
        <is>
          <t>0,05</t>
        </is>
      </c>
      <c r="D23" s="9" t="inlineStr">
        <is>
          <t>900–999</t>
        </is>
      </c>
      <c r="E23" s="9" t="n">
        <v>900</v>
      </c>
      <c r="F23" s="10" t="n">
        <v>0.171</v>
      </c>
      <c r="G23" s="10" t="n">
        <v>0</v>
      </c>
      <c r="H23" s="10" t="n">
        <v>0.171</v>
      </c>
      <c r="I23" s="11" t="inlineStr">
        <is>
          <t>Marfel (unico)</t>
        </is>
      </c>
      <c r="J23" s="10" t="n">
        <v>0.3</v>
      </c>
      <c r="K23" s="12">
        <f>J23*E23</f>
        <v/>
      </c>
      <c r="L23" s="12">
        <f>H23+J23</f>
        <v/>
      </c>
      <c r="M23" s="13" t="n">
        <v>0.48</v>
      </c>
      <c r="N23" s="12">
        <f>L23*(1+M23)</f>
        <v/>
      </c>
      <c r="O23" s="14" t="inlineStr">
        <is>
          <t>Sem custo cadastrado da Alquimia para esta gramatura — usado apenas o valor da Marfel.</t>
        </is>
      </c>
    </row>
    <row r="24">
      <c r="A24" s="8" t="inlineStr">
        <is>
          <t>Alça Camiseta</t>
        </is>
      </c>
      <c r="B24" s="9" t="inlineStr">
        <is>
          <t>30x40</t>
        </is>
      </c>
      <c r="C24" s="9" t="inlineStr">
        <is>
          <t>0,05</t>
        </is>
      </c>
      <c r="D24" s="9" t="inlineStr">
        <is>
          <t>1000+</t>
        </is>
      </c>
      <c r="E24" s="9" t="n">
        <v>1000</v>
      </c>
      <c r="F24" s="10" t="n">
        <v>0.171</v>
      </c>
      <c r="G24" s="10" t="n">
        <v>0</v>
      </c>
      <c r="H24" s="10" t="n">
        <v>0.171</v>
      </c>
      <c r="I24" s="11" t="inlineStr">
        <is>
          <t>Marfel (unico)</t>
        </is>
      </c>
      <c r="J24" s="10" t="n">
        <v>0.3</v>
      </c>
      <c r="K24" s="12">
        <f>J24*E24</f>
        <v/>
      </c>
      <c r="L24" s="12">
        <f>H24+J24</f>
        <v/>
      </c>
      <c r="M24" s="13" t="n">
        <v>0.4</v>
      </c>
      <c r="N24" s="12">
        <f>L24*(1+M24)</f>
        <v/>
      </c>
      <c r="O24" s="14" t="inlineStr">
        <is>
          <t>Sem custo cadastrado da Alquimia para esta gramatura — usado apenas o valor da Marfel.</t>
        </is>
      </c>
    </row>
    <row r="25">
      <c r="A25" s="8" t="inlineStr">
        <is>
          <t>Alça Camiseta</t>
        </is>
      </c>
      <c r="B25" s="9" t="inlineStr">
        <is>
          <t>30x40</t>
        </is>
      </c>
      <c r="C25" s="9" t="inlineStr">
        <is>
          <t>0,06</t>
        </is>
      </c>
      <c r="D25" s="9" t="inlineStr">
        <is>
          <t>100–199</t>
        </is>
      </c>
      <c r="E25" s="9" t="n">
        <v>100</v>
      </c>
      <c r="F25" s="10" t="n">
        <v>0</v>
      </c>
      <c r="G25" s="10" t="n">
        <v>0.1643</v>
      </c>
      <c r="H25" s="10" t="n">
        <v>0.1643</v>
      </c>
      <c r="I25" s="11" t="inlineStr">
        <is>
          <t>Alquimia (unico)</t>
        </is>
      </c>
      <c r="J25" s="10" t="n">
        <v>0.3</v>
      </c>
      <c r="K25" s="12">
        <f>J25*E25</f>
        <v/>
      </c>
      <c r="L25" s="12">
        <f>H25+J25</f>
        <v/>
      </c>
      <c r="M25" s="13" t="n">
        <v>1</v>
      </c>
      <c r="N25" s="12">
        <f>L25*(1+M25)</f>
        <v/>
      </c>
      <c r="O25" s="14" t="inlineStr">
        <is>
          <t>Sem custo cadastrado da Marfel para esta gramatura — usado apenas o valor da Alquimia.</t>
        </is>
      </c>
    </row>
    <row r="26">
      <c r="A26" s="8" t="inlineStr">
        <is>
          <t>Alça Camiseta</t>
        </is>
      </c>
      <c r="B26" s="9" t="inlineStr">
        <is>
          <t>30x40</t>
        </is>
      </c>
      <c r="C26" s="9" t="inlineStr">
        <is>
          <t>0,06</t>
        </is>
      </c>
      <c r="D26" s="9" t="inlineStr">
        <is>
          <t>200–299</t>
        </is>
      </c>
      <c r="E26" s="9" t="n">
        <v>200</v>
      </c>
      <c r="F26" s="10" t="n">
        <v>0</v>
      </c>
      <c r="G26" s="10" t="n">
        <v>0.1643</v>
      </c>
      <c r="H26" s="10" t="n">
        <v>0.1643</v>
      </c>
      <c r="I26" s="11" t="inlineStr">
        <is>
          <t>Alquimia (unico)</t>
        </is>
      </c>
      <c r="J26" s="10" t="n">
        <v>0.3</v>
      </c>
      <c r="K26" s="12">
        <f>J26*E26</f>
        <v/>
      </c>
      <c r="L26" s="12">
        <f>H26+J26</f>
        <v/>
      </c>
      <c r="M26" s="13" t="n">
        <v>0.75</v>
      </c>
      <c r="N26" s="12">
        <f>L26*(1+M26)</f>
        <v/>
      </c>
      <c r="O26" s="14" t="inlineStr">
        <is>
          <t>Sem custo cadastrado da Marfel para esta gramatura — usado apenas o valor da Alquimia.</t>
        </is>
      </c>
    </row>
    <row r="27">
      <c r="A27" s="8" t="inlineStr">
        <is>
          <t>Alça Camiseta</t>
        </is>
      </c>
      <c r="B27" s="9" t="inlineStr">
        <is>
          <t>30x40</t>
        </is>
      </c>
      <c r="C27" s="9" t="inlineStr">
        <is>
          <t>0,06</t>
        </is>
      </c>
      <c r="D27" s="9" t="inlineStr">
        <is>
          <t>300–399</t>
        </is>
      </c>
      <c r="E27" s="9" t="n">
        <v>300</v>
      </c>
      <c r="F27" s="10" t="n">
        <v>0</v>
      </c>
      <c r="G27" s="10" t="n">
        <v>0.1643</v>
      </c>
      <c r="H27" s="10" t="n">
        <v>0.1643</v>
      </c>
      <c r="I27" s="11" t="inlineStr">
        <is>
          <t>Alquimia (unico)</t>
        </is>
      </c>
      <c r="J27" s="10" t="n">
        <v>0.3</v>
      </c>
      <c r="K27" s="12">
        <f>J27*E27</f>
        <v/>
      </c>
      <c r="L27" s="12">
        <f>H27+J27</f>
        <v/>
      </c>
      <c r="M27" s="13" t="n">
        <v>0.7</v>
      </c>
      <c r="N27" s="12">
        <f>L27*(1+M27)</f>
        <v/>
      </c>
      <c r="O27" s="14" t="inlineStr">
        <is>
          <t>Sem custo cadastrado da Marfel para esta gramatura — usado apenas o valor da Alquimia.</t>
        </is>
      </c>
    </row>
    <row r="28">
      <c r="A28" s="8" t="inlineStr">
        <is>
          <t>Alça Camiseta</t>
        </is>
      </c>
      <c r="B28" s="9" t="inlineStr">
        <is>
          <t>30x40</t>
        </is>
      </c>
      <c r="C28" s="9" t="inlineStr">
        <is>
          <t>0,06</t>
        </is>
      </c>
      <c r="D28" s="9" t="inlineStr">
        <is>
          <t>400–499</t>
        </is>
      </c>
      <c r="E28" s="9" t="n">
        <v>400</v>
      </c>
      <c r="F28" s="10" t="n">
        <v>0</v>
      </c>
      <c r="G28" s="10" t="n">
        <v>0.1643</v>
      </c>
      <c r="H28" s="10" t="n">
        <v>0.1643</v>
      </c>
      <c r="I28" s="11" t="inlineStr">
        <is>
          <t>Alquimia (unico)</t>
        </is>
      </c>
      <c r="J28" s="10" t="n">
        <v>0.3</v>
      </c>
      <c r="K28" s="12">
        <f>J28*E28</f>
        <v/>
      </c>
      <c r="L28" s="12">
        <f>H28+J28</f>
        <v/>
      </c>
      <c r="M28" s="13" t="n">
        <v>0.65</v>
      </c>
      <c r="N28" s="12">
        <f>L28*(1+M28)</f>
        <v/>
      </c>
      <c r="O28" s="14" t="inlineStr">
        <is>
          <t>Sem custo cadastrado da Marfel para esta gramatura — usado apenas o valor da Alquimia.</t>
        </is>
      </c>
    </row>
    <row r="29">
      <c r="A29" s="8" t="inlineStr">
        <is>
          <t>Alça Camiseta</t>
        </is>
      </c>
      <c r="B29" s="9" t="inlineStr">
        <is>
          <t>30x40</t>
        </is>
      </c>
      <c r="C29" s="9" t="inlineStr">
        <is>
          <t>0,06</t>
        </is>
      </c>
      <c r="D29" s="9" t="inlineStr">
        <is>
          <t>500–599</t>
        </is>
      </c>
      <c r="E29" s="9" t="n">
        <v>500</v>
      </c>
      <c r="F29" s="10" t="n">
        <v>0</v>
      </c>
      <c r="G29" s="10" t="n">
        <v>0.1643</v>
      </c>
      <c r="H29" s="10" t="n">
        <v>0.1643</v>
      </c>
      <c r="I29" s="11" t="inlineStr">
        <is>
          <t>Alquimia (unico)</t>
        </is>
      </c>
      <c r="J29" s="10" t="n">
        <v>0.3</v>
      </c>
      <c r="K29" s="12">
        <f>J29*E29</f>
        <v/>
      </c>
      <c r="L29" s="12">
        <f>H29+J29</f>
        <v/>
      </c>
      <c r="M29" s="13" t="n">
        <v>0.6</v>
      </c>
      <c r="N29" s="12">
        <f>L29*(1+M29)</f>
        <v/>
      </c>
      <c r="O29" s="14" t="inlineStr">
        <is>
          <t>Sem custo cadastrado da Marfel para esta gramatura — usado apenas o valor da Alquimia.</t>
        </is>
      </c>
    </row>
    <row r="30">
      <c r="A30" s="8" t="inlineStr">
        <is>
          <t>Alça Camiseta</t>
        </is>
      </c>
      <c r="B30" s="9" t="inlineStr">
        <is>
          <t>30x40</t>
        </is>
      </c>
      <c r="C30" s="9" t="inlineStr">
        <is>
          <t>0,06</t>
        </is>
      </c>
      <c r="D30" s="9" t="inlineStr">
        <is>
          <t>600–699</t>
        </is>
      </c>
      <c r="E30" s="9" t="n">
        <v>600</v>
      </c>
      <c r="F30" s="10" t="n">
        <v>0</v>
      </c>
      <c r="G30" s="10" t="n">
        <v>0.1643</v>
      </c>
      <c r="H30" s="10" t="n">
        <v>0.1643</v>
      </c>
      <c r="I30" s="11" t="inlineStr">
        <is>
          <t>Alquimia (unico)</t>
        </is>
      </c>
      <c r="J30" s="10" t="n">
        <v>0.3</v>
      </c>
      <c r="K30" s="12">
        <f>J30*E30</f>
        <v/>
      </c>
      <c r="L30" s="12">
        <f>H30+J30</f>
        <v/>
      </c>
      <c r="M30" s="13" t="n">
        <v>0.57</v>
      </c>
      <c r="N30" s="12">
        <f>L30*(1+M30)</f>
        <v/>
      </c>
      <c r="O30" s="14" t="inlineStr">
        <is>
          <t>Sem custo cadastrado da Marfel para esta gramatura — usado apenas o valor da Alquimia.</t>
        </is>
      </c>
    </row>
    <row r="31">
      <c r="A31" s="8" t="inlineStr">
        <is>
          <t>Alça Camiseta</t>
        </is>
      </c>
      <c r="B31" s="9" t="inlineStr">
        <is>
          <t>30x40</t>
        </is>
      </c>
      <c r="C31" s="9" t="inlineStr">
        <is>
          <t>0,06</t>
        </is>
      </c>
      <c r="D31" s="9" t="inlineStr">
        <is>
          <t>700–799</t>
        </is>
      </c>
      <c r="E31" s="9" t="n">
        <v>700</v>
      </c>
      <c r="F31" s="10" t="n">
        <v>0</v>
      </c>
      <c r="G31" s="10" t="n">
        <v>0.1643</v>
      </c>
      <c r="H31" s="10" t="n">
        <v>0.1643</v>
      </c>
      <c r="I31" s="11" t="inlineStr">
        <is>
          <t>Alquimia (unico)</t>
        </is>
      </c>
      <c r="J31" s="10" t="n">
        <v>0.3</v>
      </c>
      <c r="K31" s="12">
        <f>J31*E31</f>
        <v/>
      </c>
      <c r="L31" s="12">
        <f>H31+J31</f>
        <v/>
      </c>
      <c r="M31" s="13" t="n">
        <v>0.54</v>
      </c>
      <c r="N31" s="12">
        <f>L31*(1+M31)</f>
        <v/>
      </c>
      <c r="O31" s="14" t="inlineStr">
        <is>
          <t>Sem custo cadastrado da Marfel para esta gramatura — usado apenas o valor da Alquimia.</t>
        </is>
      </c>
    </row>
    <row r="32">
      <c r="A32" s="8" t="inlineStr">
        <is>
          <t>Alça Camiseta</t>
        </is>
      </c>
      <c r="B32" s="9" t="inlineStr">
        <is>
          <t>30x40</t>
        </is>
      </c>
      <c r="C32" s="9" t="inlineStr">
        <is>
          <t>0,06</t>
        </is>
      </c>
      <c r="D32" s="9" t="inlineStr">
        <is>
          <t>800–899</t>
        </is>
      </c>
      <c r="E32" s="9" t="n">
        <v>800</v>
      </c>
      <c r="F32" s="10" t="n">
        <v>0</v>
      </c>
      <c r="G32" s="10" t="n">
        <v>0.1643</v>
      </c>
      <c r="H32" s="10" t="n">
        <v>0.1643</v>
      </c>
      <c r="I32" s="11" t="inlineStr">
        <is>
          <t>Alquimia (unico)</t>
        </is>
      </c>
      <c r="J32" s="10" t="n">
        <v>0.3</v>
      </c>
      <c r="K32" s="12">
        <f>J32*E32</f>
        <v/>
      </c>
      <c r="L32" s="12">
        <f>H32+J32</f>
        <v/>
      </c>
      <c r="M32" s="13" t="n">
        <v>0.51</v>
      </c>
      <c r="N32" s="12">
        <f>L32*(1+M32)</f>
        <v/>
      </c>
      <c r="O32" s="14" t="inlineStr">
        <is>
          <t>Sem custo cadastrado da Marfel para esta gramatura — usado apenas o valor da Alquimia.</t>
        </is>
      </c>
    </row>
    <row r="33">
      <c r="A33" s="8" t="inlineStr">
        <is>
          <t>Alça Camiseta</t>
        </is>
      </c>
      <c r="B33" s="9" t="inlineStr">
        <is>
          <t>30x40</t>
        </is>
      </c>
      <c r="C33" s="9" t="inlineStr">
        <is>
          <t>0,06</t>
        </is>
      </c>
      <c r="D33" s="9" t="inlineStr">
        <is>
          <t>900–999</t>
        </is>
      </c>
      <c r="E33" s="9" t="n">
        <v>900</v>
      </c>
      <c r="F33" s="10" t="n">
        <v>0</v>
      </c>
      <c r="G33" s="10" t="n">
        <v>0.1643</v>
      </c>
      <c r="H33" s="10" t="n">
        <v>0.1643</v>
      </c>
      <c r="I33" s="11" t="inlineStr">
        <is>
          <t>Alquimia (unico)</t>
        </is>
      </c>
      <c r="J33" s="10" t="n">
        <v>0.3</v>
      </c>
      <c r="K33" s="12">
        <f>J33*E33</f>
        <v/>
      </c>
      <c r="L33" s="12">
        <f>H33+J33</f>
        <v/>
      </c>
      <c r="M33" s="13" t="n">
        <v>0.48</v>
      </c>
      <c r="N33" s="12">
        <f>L33*(1+M33)</f>
        <v/>
      </c>
      <c r="O33" s="14" t="inlineStr">
        <is>
          <t>Sem custo cadastrado da Marfel para esta gramatura — usado apenas o valor da Alquimia.</t>
        </is>
      </c>
    </row>
    <row r="34">
      <c r="A34" s="8" t="inlineStr">
        <is>
          <t>Alça Camiseta</t>
        </is>
      </c>
      <c r="B34" s="9" t="inlineStr">
        <is>
          <t>30x40</t>
        </is>
      </c>
      <c r="C34" s="9" t="inlineStr">
        <is>
          <t>0,06</t>
        </is>
      </c>
      <c r="D34" s="9" t="inlineStr">
        <is>
          <t>1000+</t>
        </is>
      </c>
      <c r="E34" s="9" t="n">
        <v>1000</v>
      </c>
      <c r="F34" s="10" t="n">
        <v>0</v>
      </c>
      <c r="G34" s="10" t="n">
        <v>0.1643</v>
      </c>
      <c r="H34" s="10" t="n">
        <v>0.1643</v>
      </c>
      <c r="I34" s="11" t="inlineStr">
        <is>
          <t>Alquimia (unico)</t>
        </is>
      </c>
      <c r="J34" s="10" t="n">
        <v>0.3</v>
      </c>
      <c r="K34" s="12">
        <f>J34*E34</f>
        <v/>
      </c>
      <c r="L34" s="12">
        <f>H34+J34</f>
        <v/>
      </c>
      <c r="M34" s="13" t="n">
        <v>0.4</v>
      </c>
      <c r="N34" s="12">
        <f>L34*(1+M34)</f>
        <v/>
      </c>
      <c r="O34" s="14" t="inlineStr">
        <is>
          <t>Sem custo cadastrado da Marfel para esta gramatura — usado apenas o valor da Alquimia.</t>
        </is>
      </c>
    </row>
    <row r="35">
      <c r="A35" s="15" t="inlineStr">
        <is>
          <t>Alça Camiseta</t>
        </is>
      </c>
      <c r="B35" s="16" t="inlineStr">
        <is>
          <t>40x50</t>
        </is>
      </c>
      <c r="C35" s="16" t="inlineStr">
        <is>
          <t>0,05</t>
        </is>
      </c>
      <c r="D35" s="16" t="inlineStr">
        <is>
          <t>100–199</t>
        </is>
      </c>
      <c r="E35" s="16" t="n">
        <v>100</v>
      </c>
      <c r="F35" s="17" t="n">
        <v>0.3078</v>
      </c>
      <c r="G35" s="17" t="n">
        <v>0.207</v>
      </c>
      <c r="H35" s="17" t="n">
        <v>0.3078</v>
      </c>
      <c r="I35" s="18" t="inlineStr">
        <is>
          <t>Marfel</t>
        </is>
      </c>
      <c r="J35" s="17" t="n">
        <v>0.3</v>
      </c>
      <c r="K35" s="19">
        <f>J35*E35</f>
        <v/>
      </c>
      <c r="L35" s="19">
        <f>H35+J35</f>
        <v/>
      </c>
      <c r="M35" s="20" t="n">
        <v>1</v>
      </c>
      <c r="N35" s="19">
        <f>L35*(1+M35)</f>
        <v/>
      </c>
      <c r="O35" s="21" t="inlineStr"/>
    </row>
    <row r="36">
      <c r="A36" s="15" t="inlineStr">
        <is>
          <t>Alça Camiseta</t>
        </is>
      </c>
      <c r="B36" s="16" t="inlineStr">
        <is>
          <t>40x50</t>
        </is>
      </c>
      <c r="C36" s="16" t="inlineStr">
        <is>
          <t>0,05</t>
        </is>
      </c>
      <c r="D36" s="16" t="inlineStr">
        <is>
          <t>200–299</t>
        </is>
      </c>
      <c r="E36" s="16" t="n">
        <v>200</v>
      </c>
      <c r="F36" s="17" t="n">
        <v>0.3078</v>
      </c>
      <c r="G36" s="17" t="n">
        <v>0.207</v>
      </c>
      <c r="H36" s="17" t="n">
        <v>0.3078</v>
      </c>
      <c r="I36" s="18" t="inlineStr">
        <is>
          <t>Marfel</t>
        </is>
      </c>
      <c r="J36" s="17" t="n">
        <v>0.3</v>
      </c>
      <c r="K36" s="19">
        <f>J36*E36</f>
        <v/>
      </c>
      <c r="L36" s="19">
        <f>H36+J36</f>
        <v/>
      </c>
      <c r="M36" s="20" t="n">
        <v>0.75</v>
      </c>
      <c r="N36" s="19">
        <f>L36*(1+M36)</f>
        <v/>
      </c>
      <c r="O36" s="21" t="inlineStr"/>
    </row>
    <row r="37">
      <c r="A37" s="15" t="inlineStr">
        <is>
          <t>Alça Camiseta</t>
        </is>
      </c>
      <c r="B37" s="16" t="inlineStr">
        <is>
          <t>40x50</t>
        </is>
      </c>
      <c r="C37" s="16" t="inlineStr">
        <is>
          <t>0,05</t>
        </is>
      </c>
      <c r="D37" s="16" t="inlineStr">
        <is>
          <t>300–399</t>
        </is>
      </c>
      <c r="E37" s="16" t="n">
        <v>300</v>
      </c>
      <c r="F37" s="17" t="n">
        <v>0.3078</v>
      </c>
      <c r="G37" s="17" t="n">
        <v>0.207</v>
      </c>
      <c r="H37" s="17" t="n">
        <v>0.3078</v>
      </c>
      <c r="I37" s="18" t="inlineStr">
        <is>
          <t>Marfel</t>
        </is>
      </c>
      <c r="J37" s="17" t="n">
        <v>0.3</v>
      </c>
      <c r="K37" s="19">
        <f>J37*E37</f>
        <v/>
      </c>
      <c r="L37" s="19">
        <f>H37+J37</f>
        <v/>
      </c>
      <c r="M37" s="20" t="n">
        <v>0.7</v>
      </c>
      <c r="N37" s="19">
        <f>L37*(1+M37)</f>
        <v/>
      </c>
      <c r="O37" s="21" t="inlineStr"/>
    </row>
    <row r="38">
      <c r="A38" s="15" t="inlineStr">
        <is>
          <t>Alça Camiseta</t>
        </is>
      </c>
      <c r="B38" s="16" t="inlineStr">
        <is>
          <t>40x50</t>
        </is>
      </c>
      <c r="C38" s="16" t="inlineStr">
        <is>
          <t>0,05</t>
        </is>
      </c>
      <c r="D38" s="16" t="inlineStr">
        <is>
          <t>400–499</t>
        </is>
      </c>
      <c r="E38" s="16" t="n">
        <v>400</v>
      </c>
      <c r="F38" s="17" t="n">
        <v>0.3078</v>
      </c>
      <c r="G38" s="17" t="n">
        <v>0.207</v>
      </c>
      <c r="H38" s="17" t="n">
        <v>0.3078</v>
      </c>
      <c r="I38" s="18" t="inlineStr">
        <is>
          <t>Marfel</t>
        </is>
      </c>
      <c r="J38" s="17" t="n">
        <v>0.3</v>
      </c>
      <c r="K38" s="19">
        <f>J38*E38</f>
        <v/>
      </c>
      <c r="L38" s="19">
        <f>H38+J38</f>
        <v/>
      </c>
      <c r="M38" s="20" t="n">
        <v>0.65</v>
      </c>
      <c r="N38" s="19">
        <f>L38*(1+M38)</f>
        <v/>
      </c>
      <c r="O38" s="21" t="inlineStr"/>
    </row>
    <row r="39">
      <c r="A39" s="15" t="inlineStr">
        <is>
          <t>Alça Camiseta</t>
        </is>
      </c>
      <c r="B39" s="16" t="inlineStr">
        <is>
          <t>40x50</t>
        </is>
      </c>
      <c r="C39" s="16" t="inlineStr">
        <is>
          <t>0,05</t>
        </is>
      </c>
      <c r="D39" s="16" t="inlineStr">
        <is>
          <t>500–599</t>
        </is>
      </c>
      <c r="E39" s="16" t="n">
        <v>500</v>
      </c>
      <c r="F39" s="17" t="n">
        <v>0.3078</v>
      </c>
      <c r="G39" s="17" t="n">
        <v>0.207</v>
      </c>
      <c r="H39" s="17" t="n">
        <v>0.3078</v>
      </c>
      <c r="I39" s="18" t="inlineStr">
        <is>
          <t>Marfel</t>
        </is>
      </c>
      <c r="J39" s="17" t="n">
        <v>0.3</v>
      </c>
      <c r="K39" s="19">
        <f>J39*E39</f>
        <v/>
      </c>
      <c r="L39" s="19">
        <f>H39+J39</f>
        <v/>
      </c>
      <c r="M39" s="20" t="n">
        <v>0.6</v>
      </c>
      <c r="N39" s="19">
        <f>L39*(1+M39)</f>
        <v/>
      </c>
      <c r="O39" s="21" t="inlineStr"/>
    </row>
    <row r="40">
      <c r="A40" s="15" t="inlineStr">
        <is>
          <t>Alça Camiseta</t>
        </is>
      </c>
      <c r="B40" s="16" t="inlineStr">
        <is>
          <t>40x50</t>
        </is>
      </c>
      <c r="C40" s="16" t="inlineStr">
        <is>
          <t>0,05</t>
        </is>
      </c>
      <c r="D40" s="16" t="inlineStr">
        <is>
          <t>600–699</t>
        </is>
      </c>
      <c r="E40" s="16" t="n">
        <v>600</v>
      </c>
      <c r="F40" s="17" t="n">
        <v>0.3078</v>
      </c>
      <c r="G40" s="17" t="n">
        <v>0.207</v>
      </c>
      <c r="H40" s="17" t="n">
        <v>0.3078</v>
      </c>
      <c r="I40" s="18" t="inlineStr">
        <is>
          <t>Marfel</t>
        </is>
      </c>
      <c r="J40" s="17" t="n">
        <v>0.3</v>
      </c>
      <c r="K40" s="19">
        <f>J40*E40</f>
        <v/>
      </c>
      <c r="L40" s="19">
        <f>H40+J40</f>
        <v/>
      </c>
      <c r="M40" s="20" t="n">
        <v>0.57</v>
      </c>
      <c r="N40" s="19">
        <f>L40*(1+M40)</f>
        <v/>
      </c>
      <c r="O40" s="21" t="inlineStr"/>
    </row>
    <row r="41">
      <c r="A41" s="15" t="inlineStr">
        <is>
          <t>Alça Camiseta</t>
        </is>
      </c>
      <c r="B41" s="16" t="inlineStr">
        <is>
          <t>40x50</t>
        </is>
      </c>
      <c r="C41" s="16" t="inlineStr">
        <is>
          <t>0,05</t>
        </is>
      </c>
      <c r="D41" s="16" t="inlineStr">
        <is>
          <t>700–799</t>
        </is>
      </c>
      <c r="E41" s="16" t="n">
        <v>700</v>
      </c>
      <c r="F41" s="17" t="n">
        <v>0.3078</v>
      </c>
      <c r="G41" s="17" t="n">
        <v>0.207</v>
      </c>
      <c r="H41" s="17" t="n">
        <v>0.3078</v>
      </c>
      <c r="I41" s="18" t="inlineStr">
        <is>
          <t>Marfel</t>
        </is>
      </c>
      <c r="J41" s="17" t="n">
        <v>0.3</v>
      </c>
      <c r="K41" s="19">
        <f>J41*E41</f>
        <v/>
      </c>
      <c r="L41" s="19">
        <f>H41+J41</f>
        <v/>
      </c>
      <c r="M41" s="20" t="n">
        <v>0.54</v>
      </c>
      <c r="N41" s="19">
        <f>L41*(1+M41)</f>
        <v/>
      </c>
      <c r="O41" s="21" t="inlineStr"/>
    </row>
    <row r="42">
      <c r="A42" s="15" t="inlineStr">
        <is>
          <t>Alça Camiseta</t>
        </is>
      </c>
      <c r="B42" s="16" t="inlineStr">
        <is>
          <t>40x50</t>
        </is>
      </c>
      <c r="C42" s="16" t="inlineStr">
        <is>
          <t>0,05</t>
        </is>
      </c>
      <c r="D42" s="16" t="inlineStr">
        <is>
          <t>800–899</t>
        </is>
      </c>
      <c r="E42" s="16" t="n">
        <v>800</v>
      </c>
      <c r="F42" s="17" t="n">
        <v>0.3078</v>
      </c>
      <c r="G42" s="17" t="n">
        <v>0.207</v>
      </c>
      <c r="H42" s="17" t="n">
        <v>0.3078</v>
      </c>
      <c r="I42" s="18" t="inlineStr">
        <is>
          <t>Marfel</t>
        </is>
      </c>
      <c r="J42" s="17" t="n">
        <v>0.3</v>
      </c>
      <c r="K42" s="19">
        <f>J42*E42</f>
        <v/>
      </c>
      <c r="L42" s="19">
        <f>H42+J42</f>
        <v/>
      </c>
      <c r="M42" s="20" t="n">
        <v>0.51</v>
      </c>
      <c r="N42" s="19">
        <f>L42*(1+M42)</f>
        <v/>
      </c>
      <c r="O42" s="21" t="inlineStr"/>
    </row>
    <row r="43">
      <c r="A43" s="15" t="inlineStr">
        <is>
          <t>Alça Camiseta</t>
        </is>
      </c>
      <c r="B43" s="16" t="inlineStr">
        <is>
          <t>40x50</t>
        </is>
      </c>
      <c r="C43" s="16" t="inlineStr">
        <is>
          <t>0,05</t>
        </is>
      </c>
      <c r="D43" s="16" t="inlineStr">
        <is>
          <t>900–999</t>
        </is>
      </c>
      <c r="E43" s="16" t="n">
        <v>900</v>
      </c>
      <c r="F43" s="17" t="n">
        <v>0.3078</v>
      </c>
      <c r="G43" s="17" t="n">
        <v>0.207</v>
      </c>
      <c r="H43" s="17" t="n">
        <v>0.3078</v>
      </c>
      <c r="I43" s="18" t="inlineStr">
        <is>
          <t>Marfel</t>
        </is>
      </c>
      <c r="J43" s="17" t="n">
        <v>0.3</v>
      </c>
      <c r="K43" s="19">
        <f>J43*E43</f>
        <v/>
      </c>
      <c r="L43" s="19">
        <f>H43+J43</f>
        <v/>
      </c>
      <c r="M43" s="20" t="n">
        <v>0.48</v>
      </c>
      <c r="N43" s="19">
        <f>L43*(1+M43)</f>
        <v/>
      </c>
      <c r="O43" s="21" t="inlineStr"/>
    </row>
    <row r="44">
      <c r="A44" s="15" t="inlineStr">
        <is>
          <t>Alça Camiseta</t>
        </is>
      </c>
      <c r="B44" s="16" t="inlineStr">
        <is>
          <t>40x50</t>
        </is>
      </c>
      <c r="C44" s="16" t="inlineStr">
        <is>
          <t>0,05</t>
        </is>
      </c>
      <c r="D44" s="16" t="inlineStr">
        <is>
          <t>1000+</t>
        </is>
      </c>
      <c r="E44" s="16" t="n">
        <v>1000</v>
      </c>
      <c r="F44" s="17" t="n">
        <v>0.3078</v>
      </c>
      <c r="G44" s="17" t="n">
        <v>0.207</v>
      </c>
      <c r="H44" s="17" t="n">
        <v>0.3078</v>
      </c>
      <c r="I44" s="18" t="inlineStr">
        <is>
          <t>Marfel</t>
        </is>
      </c>
      <c r="J44" s="17" t="n">
        <v>0.3</v>
      </c>
      <c r="K44" s="19">
        <f>J44*E44</f>
        <v/>
      </c>
      <c r="L44" s="19">
        <f>H44+J44</f>
        <v/>
      </c>
      <c r="M44" s="20" t="n">
        <v>0.4</v>
      </c>
      <c r="N44" s="19">
        <f>L44*(1+M44)</f>
        <v/>
      </c>
      <c r="O44" s="21" t="inlineStr"/>
    </row>
    <row r="45">
      <c r="A45" s="8" t="inlineStr">
        <is>
          <t>Alça Camiseta</t>
        </is>
      </c>
      <c r="B45" s="9" t="inlineStr">
        <is>
          <t>40x50</t>
        </is>
      </c>
      <c r="C45" s="9" t="inlineStr">
        <is>
          <t>0,06</t>
        </is>
      </c>
      <c r="D45" s="9" t="inlineStr">
        <is>
          <t>100–199</t>
        </is>
      </c>
      <c r="E45" s="9" t="n">
        <v>100</v>
      </c>
      <c r="F45" s="10" t="n">
        <v>0</v>
      </c>
      <c r="G45" s="10" t="n">
        <v>0.2915</v>
      </c>
      <c r="H45" s="10" t="n">
        <v>0.2915</v>
      </c>
      <c r="I45" s="11" t="inlineStr">
        <is>
          <t>Alquimia (unico)</t>
        </is>
      </c>
      <c r="J45" s="10" t="n">
        <v>0.3</v>
      </c>
      <c r="K45" s="12">
        <f>J45*E45</f>
        <v/>
      </c>
      <c r="L45" s="12">
        <f>H45+J45</f>
        <v/>
      </c>
      <c r="M45" s="13" t="n">
        <v>1</v>
      </c>
      <c r="N45" s="12">
        <f>L45*(1+M45)</f>
        <v/>
      </c>
      <c r="O45" s="14" t="inlineStr">
        <is>
          <t>Sem custo cadastrado da Marfel para esta gramatura — usado apenas o valor da Alquimia.</t>
        </is>
      </c>
    </row>
    <row r="46">
      <c r="A46" s="8" t="inlineStr">
        <is>
          <t>Alça Camiseta</t>
        </is>
      </c>
      <c r="B46" s="9" t="inlineStr">
        <is>
          <t>40x50</t>
        </is>
      </c>
      <c r="C46" s="9" t="inlineStr">
        <is>
          <t>0,06</t>
        </is>
      </c>
      <c r="D46" s="9" t="inlineStr">
        <is>
          <t>200–299</t>
        </is>
      </c>
      <c r="E46" s="9" t="n">
        <v>200</v>
      </c>
      <c r="F46" s="10" t="n">
        <v>0</v>
      </c>
      <c r="G46" s="10" t="n">
        <v>0.2915</v>
      </c>
      <c r="H46" s="10" t="n">
        <v>0.2915</v>
      </c>
      <c r="I46" s="11" t="inlineStr">
        <is>
          <t>Alquimia (unico)</t>
        </is>
      </c>
      <c r="J46" s="10" t="n">
        <v>0.3</v>
      </c>
      <c r="K46" s="12">
        <f>J46*E46</f>
        <v/>
      </c>
      <c r="L46" s="12">
        <f>H46+J46</f>
        <v/>
      </c>
      <c r="M46" s="13" t="n">
        <v>0.75</v>
      </c>
      <c r="N46" s="12">
        <f>L46*(1+M46)</f>
        <v/>
      </c>
      <c r="O46" s="14" t="inlineStr">
        <is>
          <t>Sem custo cadastrado da Marfel para esta gramatura — usado apenas o valor da Alquimia.</t>
        </is>
      </c>
    </row>
    <row r="47">
      <c r="A47" s="8" t="inlineStr">
        <is>
          <t>Alça Camiseta</t>
        </is>
      </c>
      <c r="B47" s="9" t="inlineStr">
        <is>
          <t>40x50</t>
        </is>
      </c>
      <c r="C47" s="9" t="inlineStr">
        <is>
          <t>0,06</t>
        </is>
      </c>
      <c r="D47" s="9" t="inlineStr">
        <is>
          <t>300–399</t>
        </is>
      </c>
      <c r="E47" s="9" t="n">
        <v>300</v>
      </c>
      <c r="F47" s="10" t="n">
        <v>0</v>
      </c>
      <c r="G47" s="10" t="n">
        <v>0.2915</v>
      </c>
      <c r="H47" s="10" t="n">
        <v>0.2915</v>
      </c>
      <c r="I47" s="11" t="inlineStr">
        <is>
          <t>Alquimia (unico)</t>
        </is>
      </c>
      <c r="J47" s="10" t="n">
        <v>0.3</v>
      </c>
      <c r="K47" s="12">
        <f>J47*E47</f>
        <v/>
      </c>
      <c r="L47" s="12">
        <f>H47+J47</f>
        <v/>
      </c>
      <c r="M47" s="13" t="n">
        <v>0.7</v>
      </c>
      <c r="N47" s="12">
        <f>L47*(1+M47)</f>
        <v/>
      </c>
      <c r="O47" s="14" t="inlineStr">
        <is>
          <t>Sem custo cadastrado da Marfel para esta gramatura — usado apenas o valor da Alquimia.</t>
        </is>
      </c>
    </row>
    <row r="48">
      <c r="A48" s="8" t="inlineStr">
        <is>
          <t>Alça Camiseta</t>
        </is>
      </c>
      <c r="B48" s="9" t="inlineStr">
        <is>
          <t>40x50</t>
        </is>
      </c>
      <c r="C48" s="9" t="inlineStr">
        <is>
          <t>0,06</t>
        </is>
      </c>
      <c r="D48" s="9" t="inlineStr">
        <is>
          <t>400–499</t>
        </is>
      </c>
      <c r="E48" s="9" t="n">
        <v>400</v>
      </c>
      <c r="F48" s="10" t="n">
        <v>0</v>
      </c>
      <c r="G48" s="10" t="n">
        <v>0.2915</v>
      </c>
      <c r="H48" s="10" t="n">
        <v>0.2915</v>
      </c>
      <c r="I48" s="11" t="inlineStr">
        <is>
          <t>Alquimia (unico)</t>
        </is>
      </c>
      <c r="J48" s="10" t="n">
        <v>0.3</v>
      </c>
      <c r="K48" s="12">
        <f>J48*E48</f>
        <v/>
      </c>
      <c r="L48" s="12">
        <f>H48+J48</f>
        <v/>
      </c>
      <c r="M48" s="13" t="n">
        <v>0.65</v>
      </c>
      <c r="N48" s="12">
        <f>L48*(1+M48)</f>
        <v/>
      </c>
      <c r="O48" s="14" t="inlineStr">
        <is>
          <t>Sem custo cadastrado da Marfel para esta gramatura — usado apenas o valor da Alquimia.</t>
        </is>
      </c>
    </row>
    <row r="49">
      <c r="A49" s="8" t="inlineStr">
        <is>
          <t>Alça Camiseta</t>
        </is>
      </c>
      <c r="B49" s="9" t="inlineStr">
        <is>
          <t>40x50</t>
        </is>
      </c>
      <c r="C49" s="9" t="inlineStr">
        <is>
          <t>0,06</t>
        </is>
      </c>
      <c r="D49" s="9" t="inlineStr">
        <is>
          <t>500–599</t>
        </is>
      </c>
      <c r="E49" s="9" t="n">
        <v>500</v>
      </c>
      <c r="F49" s="10" t="n">
        <v>0</v>
      </c>
      <c r="G49" s="10" t="n">
        <v>0.2915</v>
      </c>
      <c r="H49" s="10" t="n">
        <v>0.2915</v>
      </c>
      <c r="I49" s="11" t="inlineStr">
        <is>
          <t>Alquimia (unico)</t>
        </is>
      </c>
      <c r="J49" s="10" t="n">
        <v>0.3</v>
      </c>
      <c r="K49" s="12">
        <f>J49*E49</f>
        <v/>
      </c>
      <c r="L49" s="12">
        <f>H49+J49</f>
        <v/>
      </c>
      <c r="M49" s="13" t="n">
        <v>0.6</v>
      </c>
      <c r="N49" s="12">
        <f>L49*(1+M49)</f>
        <v/>
      </c>
      <c r="O49" s="14" t="inlineStr">
        <is>
          <t>Sem custo cadastrado da Marfel para esta gramatura — usado apenas o valor da Alquimia.</t>
        </is>
      </c>
    </row>
    <row r="50">
      <c r="A50" s="8" t="inlineStr">
        <is>
          <t>Alça Camiseta</t>
        </is>
      </c>
      <c r="B50" s="9" t="inlineStr">
        <is>
          <t>40x50</t>
        </is>
      </c>
      <c r="C50" s="9" t="inlineStr">
        <is>
          <t>0,06</t>
        </is>
      </c>
      <c r="D50" s="9" t="inlineStr">
        <is>
          <t>600–699</t>
        </is>
      </c>
      <c r="E50" s="9" t="n">
        <v>600</v>
      </c>
      <c r="F50" s="10" t="n">
        <v>0</v>
      </c>
      <c r="G50" s="10" t="n">
        <v>0.2915</v>
      </c>
      <c r="H50" s="10" t="n">
        <v>0.2915</v>
      </c>
      <c r="I50" s="11" t="inlineStr">
        <is>
          <t>Alquimia (unico)</t>
        </is>
      </c>
      <c r="J50" s="10" t="n">
        <v>0.3</v>
      </c>
      <c r="K50" s="12">
        <f>J50*E50</f>
        <v/>
      </c>
      <c r="L50" s="12">
        <f>H50+J50</f>
        <v/>
      </c>
      <c r="M50" s="13" t="n">
        <v>0.57</v>
      </c>
      <c r="N50" s="12">
        <f>L50*(1+M50)</f>
        <v/>
      </c>
      <c r="O50" s="14" t="inlineStr">
        <is>
          <t>Sem custo cadastrado da Marfel para esta gramatura — usado apenas o valor da Alquimia.</t>
        </is>
      </c>
    </row>
    <row r="51">
      <c r="A51" s="8" t="inlineStr">
        <is>
          <t>Alça Camiseta</t>
        </is>
      </c>
      <c r="B51" s="9" t="inlineStr">
        <is>
          <t>40x50</t>
        </is>
      </c>
      <c r="C51" s="9" t="inlineStr">
        <is>
          <t>0,06</t>
        </is>
      </c>
      <c r="D51" s="9" t="inlineStr">
        <is>
          <t>700–799</t>
        </is>
      </c>
      <c r="E51" s="9" t="n">
        <v>700</v>
      </c>
      <c r="F51" s="10" t="n">
        <v>0</v>
      </c>
      <c r="G51" s="10" t="n">
        <v>0.2915</v>
      </c>
      <c r="H51" s="10" t="n">
        <v>0.2915</v>
      </c>
      <c r="I51" s="11" t="inlineStr">
        <is>
          <t>Alquimia (unico)</t>
        </is>
      </c>
      <c r="J51" s="10" t="n">
        <v>0.3</v>
      </c>
      <c r="K51" s="12">
        <f>J51*E51</f>
        <v/>
      </c>
      <c r="L51" s="12">
        <f>H51+J51</f>
        <v/>
      </c>
      <c r="M51" s="13" t="n">
        <v>0.54</v>
      </c>
      <c r="N51" s="12">
        <f>L51*(1+M51)</f>
        <v/>
      </c>
      <c r="O51" s="14" t="inlineStr">
        <is>
          <t>Sem custo cadastrado da Marfel para esta gramatura — usado apenas o valor da Alquimia.</t>
        </is>
      </c>
    </row>
    <row r="52">
      <c r="A52" s="8" t="inlineStr">
        <is>
          <t>Alça Camiseta</t>
        </is>
      </c>
      <c r="B52" s="9" t="inlineStr">
        <is>
          <t>40x50</t>
        </is>
      </c>
      <c r="C52" s="9" t="inlineStr">
        <is>
          <t>0,06</t>
        </is>
      </c>
      <c r="D52" s="9" t="inlineStr">
        <is>
          <t>800–899</t>
        </is>
      </c>
      <c r="E52" s="9" t="n">
        <v>800</v>
      </c>
      <c r="F52" s="10" t="n">
        <v>0</v>
      </c>
      <c r="G52" s="10" t="n">
        <v>0.2915</v>
      </c>
      <c r="H52" s="10" t="n">
        <v>0.2915</v>
      </c>
      <c r="I52" s="11" t="inlineStr">
        <is>
          <t>Alquimia (unico)</t>
        </is>
      </c>
      <c r="J52" s="10" t="n">
        <v>0.3</v>
      </c>
      <c r="K52" s="12">
        <f>J52*E52</f>
        <v/>
      </c>
      <c r="L52" s="12">
        <f>H52+J52</f>
        <v/>
      </c>
      <c r="M52" s="13" t="n">
        <v>0.51</v>
      </c>
      <c r="N52" s="12">
        <f>L52*(1+M52)</f>
        <v/>
      </c>
      <c r="O52" s="14" t="inlineStr">
        <is>
          <t>Sem custo cadastrado da Marfel para esta gramatura — usado apenas o valor da Alquimia.</t>
        </is>
      </c>
    </row>
    <row r="53">
      <c r="A53" s="8" t="inlineStr">
        <is>
          <t>Alça Camiseta</t>
        </is>
      </c>
      <c r="B53" s="9" t="inlineStr">
        <is>
          <t>40x50</t>
        </is>
      </c>
      <c r="C53" s="9" t="inlineStr">
        <is>
          <t>0,06</t>
        </is>
      </c>
      <c r="D53" s="9" t="inlineStr">
        <is>
          <t>900–999</t>
        </is>
      </c>
      <c r="E53" s="9" t="n">
        <v>900</v>
      </c>
      <c r="F53" s="10" t="n">
        <v>0</v>
      </c>
      <c r="G53" s="10" t="n">
        <v>0.2915</v>
      </c>
      <c r="H53" s="10" t="n">
        <v>0.2915</v>
      </c>
      <c r="I53" s="11" t="inlineStr">
        <is>
          <t>Alquimia (unico)</t>
        </is>
      </c>
      <c r="J53" s="10" t="n">
        <v>0.3</v>
      </c>
      <c r="K53" s="12">
        <f>J53*E53</f>
        <v/>
      </c>
      <c r="L53" s="12">
        <f>H53+J53</f>
        <v/>
      </c>
      <c r="M53" s="13" t="n">
        <v>0.48</v>
      </c>
      <c r="N53" s="12">
        <f>L53*(1+M53)</f>
        <v/>
      </c>
      <c r="O53" s="14" t="inlineStr">
        <is>
          <t>Sem custo cadastrado da Marfel para esta gramatura — usado apenas o valor da Alquimia.</t>
        </is>
      </c>
    </row>
    <row r="54">
      <c r="A54" s="8" t="inlineStr">
        <is>
          <t>Alça Camiseta</t>
        </is>
      </c>
      <c r="B54" s="9" t="inlineStr">
        <is>
          <t>40x50</t>
        </is>
      </c>
      <c r="C54" s="9" t="inlineStr">
        <is>
          <t>0,06</t>
        </is>
      </c>
      <c r="D54" s="9" t="inlineStr">
        <is>
          <t>1000+</t>
        </is>
      </c>
      <c r="E54" s="9" t="n">
        <v>1000</v>
      </c>
      <c r="F54" s="10" t="n">
        <v>0</v>
      </c>
      <c r="G54" s="10" t="n">
        <v>0.2915</v>
      </c>
      <c r="H54" s="10" t="n">
        <v>0.2915</v>
      </c>
      <c r="I54" s="11" t="inlineStr">
        <is>
          <t>Alquimia (unico)</t>
        </is>
      </c>
      <c r="J54" s="10" t="n">
        <v>0.3</v>
      </c>
      <c r="K54" s="12">
        <f>J54*E54</f>
        <v/>
      </c>
      <c r="L54" s="12">
        <f>H54+J54</f>
        <v/>
      </c>
      <c r="M54" s="13" t="n">
        <v>0.4</v>
      </c>
      <c r="N54" s="12">
        <f>L54*(1+M54)</f>
        <v/>
      </c>
      <c r="O54" s="14" t="inlineStr">
        <is>
          <t>Sem custo cadastrado da Marfel para esta gramatura — usado apenas o valor da Alquimia.</t>
        </is>
      </c>
    </row>
    <row r="55">
      <c r="A55" s="15" t="inlineStr">
        <is>
          <t>Alça Camiseta</t>
        </is>
      </c>
      <c r="B55" s="16" t="inlineStr">
        <is>
          <t>45x60</t>
        </is>
      </c>
      <c r="C55" s="16" t="inlineStr">
        <is>
          <t>0,05</t>
        </is>
      </c>
      <c r="D55" s="16" t="inlineStr">
        <is>
          <t>100–199</t>
        </is>
      </c>
      <c r="E55" s="16" t="n">
        <v>100</v>
      </c>
      <c r="F55" s="17" t="n">
        <v>0.4617</v>
      </c>
      <c r="G55" s="17" t="n">
        <v>0.2806</v>
      </c>
      <c r="H55" s="17" t="n">
        <v>0.4617</v>
      </c>
      <c r="I55" s="18" t="inlineStr">
        <is>
          <t>Marfel</t>
        </is>
      </c>
      <c r="J55" s="17" t="n">
        <v>0.3</v>
      </c>
      <c r="K55" s="19">
        <f>J55*E55</f>
        <v/>
      </c>
      <c r="L55" s="19">
        <f>H55+J55</f>
        <v/>
      </c>
      <c r="M55" s="20" t="n">
        <v>1</v>
      </c>
      <c r="N55" s="19">
        <f>L55*(1+M55)</f>
        <v/>
      </c>
      <c r="O55" s="21" t="inlineStr"/>
    </row>
    <row r="56">
      <c r="A56" s="15" t="inlineStr">
        <is>
          <t>Alça Camiseta</t>
        </is>
      </c>
      <c r="B56" s="16" t="inlineStr">
        <is>
          <t>45x60</t>
        </is>
      </c>
      <c r="C56" s="16" t="inlineStr">
        <is>
          <t>0,05</t>
        </is>
      </c>
      <c r="D56" s="16" t="inlineStr">
        <is>
          <t>200–299</t>
        </is>
      </c>
      <c r="E56" s="16" t="n">
        <v>200</v>
      </c>
      <c r="F56" s="17" t="n">
        <v>0.4617</v>
      </c>
      <c r="G56" s="17" t="n">
        <v>0.2806</v>
      </c>
      <c r="H56" s="17" t="n">
        <v>0.4617</v>
      </c>
      <c r="I56" s="18" t="inlineStr">
        <is>
          <t>Marfel</t>
        </is>
      </c>
      <c r="J56" s="17" t="n">
        <v>0.3</v>
      </c>
      <c r="K56" s="19">
        <f>J56*E56</f>
        <v/>
      </c>
      <c r="L56" s="19">
        <f>H56+J56</f>
        <v/>
      </c>
      <c r="M56" s="20" t="n">
        <v>0.75</v>
      </c>
      <c r="N56" s="19">
        <f>L56*(1+M56)</f>
        <v/>
      </c>
      <c r="O56" s="21" t="inlineStr"/>
    </row>
    <row r="57">
      <c r="A57" s="15" t="inlineStr">
        <is>
          <t>Alça Camiseta</t>
        </is>
      </c>
      <c r="B57" s="16" t="inlineStr">
        <is>
          <t>45x60</t>
        </is>
      </c>
      <c r="C57" s="16" t="inlineStr">
        <is>
          <t>0,05</t>
        </is>
      </c>
      <c r="D57" s="16" t="inlineStr">
        <is>
          <t>300–399</t>
        </is>
      </c>
      <c r="E57" s="16" t="n">
        <v>300</v>
      </c>
      <c r="F57" s="17" t="n">
        <v>0.4617</v>
      </c>
      <c r="G57" s="17" t="n">
        <v>0.2806</v>
      </c>
      <c r="H57" s="17" t="n">
        <v>0.4617</v>
      </c>
      <c r="I57" s="18" t="inlineStr">
        <is>
          <t>Marfel</t>
        </is>
      </c>
      <c r="J57" s="17" t="n">
        <v>0.3</v>
      </c>
      <c r="K57" s="19">
        <f>J57*E57</f>
        <v/>
      </c>
      <c r="L57" s="19">
        <f>H57+J57</f>
        <v/>
      </c>
      <c r="M57" s="20" t="n">
        <v>0.7</v>
      </c>
      <c r="N57" s="19">
        <f>L57*(1+M57)</f>
        <v/>
      </c>
      <c r="O57" s="21" t="inlineStr"/>
    </row>
    <row r="58">
      <c r="A58" s="15" t="inlineStr">
        <is>
          <t>Alça Camiseta</t>
        </is>
      </c>
      <c r="B58" s="16" t="inlineStr">
        <is>
          <t>45x60</t>
        </is>
      </c>
      <c r="C58" s="16" t="inlineStr">
        <is>
          <t>0,05</t>
        </is>
      </c>
      <c r="D58" s="16" t="inlineStr">
        <is>
          <t>400–499</t>
        </is>
      </c>
      <c r="E58" s="16" t="n">
        <v>400</v>
      </c>
      <c r="F58" s="17" t="n">
        <v>0.4617</v>
      </c>
      <c r="G58" s="17" t="n">
        <v>0.2806</v>
      </c>
      <c r="H58" s="17" t="n">
        <v>0.4617</v>
      </c>
      <c r="I58" s="18" t="inlineStr">
        <is>
          <t>Marfel</t>
        </is>
      </c>
      <c r="J58" s="17" t="n">
        <v>0.3</v>
      </c>
      <c r="K58" s="19">
        <f>J58*E58</f>
        <v/>
      </c>
      <c r="L58" s="19">
        <f>H58+J58</f>
        <v/>
      </c>
      <c r="M58" s="20" t="n">
        <v>0.65</v>
      </c>
      <c r="N58" s="19">
        <f>L58*(1+M58)</f>
        <v/>
      </c>
      <c r="O58" s="21" t="inlineStr"/>
    </row>
    <row r="59">
      <c r="A59" s="15" t="inlineStr">
        <is>
          <t>Alça Camiseta</t>
        </is>
      </c>
      <c r="B59" s="16" t="inlineStr">
        <is>
          <t>45x60</t>
        </is>
      </c>
      <c r="C59" s="16" t="inlineStr">
        <is>
          <t>0,05</t>
        </is>
      </c>
      <c r="D59" s="16" t="inlineStr">
        <is>
          <t>500–599</t>
        </is>
      </c>
      <c r="E59" s="16" t="n">
        <v>500</v>
      </c>
      <c r="F59" s="17" t="n">
        <v>0.4617</v>
      </c>
      <c r="G59" s="17" t="n">
        <v>0.2806</v>
      </c>
      <c r="H59" s="17" t="n">
        <v>0.4617</v>
      </c>
      <c r="I59" s="18" t="inlineStr">
        <is>
          <t>Marfel</t>
        </is>
      </c>
      <c r="J59" s="17" t="n">
        <v>0.3</v>
      </c>
      <c r="K59" s="19">
        <f>J59*E59</f>
        <v/>
      </c>
      <c r="L59" s="19">
        <f>H59+J59</f>
        <v/>
      </c>
      <c r="M59" s="20" t="n">
        <v>0.6</v>
      </c>
      <c r="N59" s="19">
        <f>L59*(1+M59)</f>
        <v/>
      </c>
      <c r="O59" s="21" t="inlineStr"/>
    </row>
    <row r="60">
      <c r="A60" s="15" t="inlineStr">
        <is>
          <t>Alça Camiseta</t>
        </is>
      </c>
      <c r="B60" s="16" t="inlineStr">
        <is>
          <t>45x60</t>
        </is>
      </c>
      <c r="C60" s="16" t="inlineStr">
        <is>
          <t>0,05</t>
        </is>
      </c>
      <c r="D60" s="16" t="inlineStr">
        <is>
          <t>600–699</t>
        </is>
      </c>
      <c r="E60" s="16" t="n">
        <v>600</v>
      </c>
      <c r="F60" s="17" t="n">
        <v>0.4617</v>
      </c>
      <c r="G60" s="17" t="n">
        <v>0.2806</v>
      </c>
      <c r="H60" s="17" t="n">
        <v>0.4617</v>
      </c>
      <c r="I60" s="18" t="inlineStr">
        <is>
          <t>Marfel</t>
        </is>
      </c>
      <c r="J60" s="17" t="n">
        <v>0.3</v>
      </c>
      <c r="K60" s="19">
        <f>J60*E60</f>
        <v/>
      </c>
      <c r="L60" s="19">
        <f>H60+J60</f>
        <v/>
      </c>
      <c r="M60" s="20" t="n">
        <v>0.57</v>
      </c>
      <c r="N60" s="19">
        <f>L60*(1+M60)</f>
        <v/>
      </c>
      <c r="O60" s="21" t="inlineStr"/>
    </row>
    <row r="61">
      <c r="A61" s="15" t="inlineStr">
        <is>
          <t>Alça Camiseta</t>
        </is>
      </c>
      <c r="B61" s="16" t="inlineStr">
        <is>
          <t>45x60</t>
        </is>
      </c>
      <c r="C61" s="16" t="inlineStr">
        <is>
          <t>0,05</t>
        </is>
      </c>
      <c r="D61" s="16" t="inlineStr">
        <is>
          <t>700–799</t>
        </is>
      </c>
      <c r="E61" s="16" t="n">
        <v>700</v>
      </c>
      <c r="F61" s="17" t="n">
        <v>0.4617</v>
      </c>
      <c r="G61" s="17" t="n">
        <v>0.2806</v>
      </c>
      <c r="H61" s="17" t="n">
        <v>0.4617</v>
      </c>
      <c r="I61" s="18" t="inlineStr">
        <is>
          <t>Marfel</t>
        </is>
      </c>
      <c r="J61" s="17" t="n">
        <v>0.3</v>
      </c>
      <c r="K61" s="19">
        <f>J61*E61</f>
        <v/>
      </c>
      <c r="L61" s="19">
        <f>H61+J61</f>
        <v/>
      </c>
      <c r="M61" s="20" t="n">
        <v>0.54</v>
      </c>
      <c r="N61" s="19">
        <f>L61*(1+M61)</f>
        <v/>
      </c>
      <c r="O61" s="21" t="inlineStr"/>
    </row>
    <row r="62">
      <c r="A62" s="15" t="inlineStr">
        <is>
          <t>Alça Camiseta</t>
        </is>
      </c>
      <c r="B62" s="16" t="inlineStr">
        <is>
          <t>45x60</t>
        </is>
      </c>
      <c r="C62" s="16" t="inlineStr">
        <is>
          <t>0,05</t>
        </is>
      </c>
      <c r="D62" s="16" t="inlineStr">
        <is>
          <t>800–899</t>
        </is>
      </c>
      <c r="E62" s="16" t="n">
        <v>800</v>
      </c>
      <c r="F62" s="17" t="n">
        <v>0.4617</v>
      </c>
      <c r="G62" s="17" t="n">
        <v>0.2806</v>
      </c>
      <c r="H62" s="17" t="n">
        <v>0.4617</v>
      </c>
      <c r="I62" s="18" t="inlineStr">
        <is>
          <t>Marfel</t>
        </is>
      </c>
      <c r="J62" s="17" t="n">
        <v>0.3</v>
      </c>
      <c r="K62" s="19">
        <f>J62*E62</f>
        <v/>
      </c>
      <c r="L62" s="19">
        <f>H62+J62</f>
        <v/>
      </c>
      <c r="M62" s="20" t="n">
        <v>0.51</v>
      </c>
      <c r="N62" s="19">
        <f>L62*(1+M62)</f>
        <v/>
      </c>
      <c r="O62" s="21" t="inlineStr"/>
    </row>
    <row r="63">
      <c r="A63" s="15" t="inlineStr">
        <is>
          <t>Alça Camiseta</t>
        </is>
      </c>
      <c r="B63" s="16" t="inlineStr">
        <is>
          <t>45x60</t>
        </is>
      </c>
      <c r="C63" s="16" t="inlineStr">
        <is>
          <t>0,05</t>
        </is>
      </c>
      <c r="D63" s="16" t="inlineStr">
        <is>
          <t>900–999</t>
        </is>
      </c>
      <c r="E63" s="16" t="n">
        <v>900</v>
      </c>
      <c r="F63" s="17" t="n">
        <v>0.4617</v>
      </c>
      <c r="G63" s="17" t="n">
        <v>0.2806</v>
      </c>
      <c r="H63" s="17" t="n">
        <v>0.4617</v>
      </c>
      <c r="I63" s="18" t="inlineStr">
        <is>
          <t>Marfel</t>
        </is>
      </c>
      <c r="J63" s="17" t="n">
        <v>0.3</v>
      </c>
      <c r="K63" s="19">
        <f>J63*E63</f>
        <v/>
      </c>
      <c r="L63" s="19">
        <f>H63+J63</f>
        <v/>
      </c>
      <c r="M63" s="20" t="n">
        <v>0.48</v>
      </c>
      <c r="N63" s="19">
        <f>L63*(1+M63)</f>
        <v/>
      </c>
      <c r="O63" s="21" t="inlineStr"/>
    </row>
    <row r="64">
      <c r="A64" s="15" t="inlineStr">
        <is>
          <t>Alça Camiseta</t>
        </is>
      </c>
      <c r="B64" s="16" t="inlineStr">
        <is>
          <t>45x60</t>
        </is>
      </c>
      <c r="C64" s="16" t="inlineStr">
        <is>
          <t>0,05</t>
        </is>
      </c>
      <c r="D64" s="16" t="inlineStr">
        <is>
          <t>1000+</t>
        </is>
      </c>
      <c r="E64" s="16" t="n">
        <v>1000</v>
      </c>
      <c r="F64" s="17" t="n">
        <v>0.4617</v>
      </c>
      <c r="G64" s="17" t="n">
        <v>0.2806</v>
      </c>
      <c r="H64" s="17" t="n">
        <v>0.4617</v>
      </c>
      <c r="I64" s="18" t="inlineStr">
        <is>
          <t>Marfel</t>
        </is>
      </c>
      <c r="J64" s="17" t="n">
        <v>0.3</v>
      </c>
      <c r="K64" s="19">
        <f>J64*E64</f>
        <v/>
      </c>
      <c r="L64" s="19">
        <f>H64+J64</f>
        <v/>
      </c>
      <c r="M64" s="20" t="n">
        <v>0.4</v>
      </c>
      <c r="N64" s="19">
        <f>L64*(1+M64)</f>
        <v/>
      </c>
      <c r="O64" s="21" t="inlineStr"/>
    </row>
    <row r="65">
      <c r="A65" s="8" t="inlineStr">
        <is>
          <t>Alça Camiseta</t>
        </is>
      </c>
      <c r="B65" s="9" t="inlineStr">
        <is>
          <t>45x60</t>
        </is>
      </c>
      <c r="C65" s="9" t="inlineStr">
        <is>
          <t>0,06</t>
        </is>
      </c>
      <c r="D65" s="9" t="inlineStr">
        <is>
          <t>100–199</t>
        </is>
      </c>
      <c r="E65" s="9" t="n">
        <v>100</v>
      </c>
      <c r="F65" s="10" t="n">
        <v>0</v>
      </c>
      <c r="G65" s="10" t="n">
        <v>0.322</v>
      </c>
      <c r="H65" s="10" t="n">
        <v>0.322</v>
      </c>
      <c r="I65" s="11" t="inlineStr">
        <is>
          <t>Alquimia (unico)</t>
        </is>
      </c>
      <c r="J65" s="10" t="n">
        <v>0.3</v>
      </c>
      <c r="K65" s="12">
        <f>J65*E65</f>
        <v/>
      </c>
      <c r="L65" s="12">
        <f>H65+J65</f>
        <v/>
      </c>
      <c r="M65" s="13" t="n">
        <v>1</v>
      </c>
      <c r="N65" s="12">
        <f>L65*(1+M65)</f>
        <v/>
      </c>
      <c r="O65" s="14" t="inlineStr">
        <is>
          <t>Sem custo cadastrado da Marfel para esta gramatura — usado apenas o valor da Alquimia.</t>
        </is>
      </c>
    </row>
    <row r="66">
      <c r="A66" s="8" t="inlineStr">
        <is>
          <t>Alça Camiseta</t>
        </is>
      </c>
      <c r="B66" s="9" t="inlineStr">
        <is>
          <t>45x60</t>
        </is>
      </c>
      <c r="C66" s="9" t="inlineStr">
        <is>
          <t>0,06</t>
        </is>
      </c>
      <c r="D66" s="9" t="inlineStr">
        <is>
          <t>200–299</t>
        </is>
      </c>
      <c r="E66" s="9" t="n">
        <v>200</v>
      </c>
      <c r="F66" s="10" t="n">
        <v>0</v>
      </c>
      <c r="G66" s="10" t="n">
        <v>0.322</v>
      </c>
      <c r="H66" s="10" t="n">
        <v>0.322</v>
      </c>
      <c r="I66" s="11" t="inlineStr">
        <is>
          <t>Alquimia (unico)</t>
        </is>
      </c>
      <c r="J66" s="10" t="n">
        <v>0.3</v>
      </c>
      <c r="K66" s="12">
        <f>J66*E66</f>
        <v/>
      </c>
      <c r="L66" s="12">
        <f>H66+J66</f>
        <v/>
      </c>
      <c r="M66" s="13" t="n">
        <v>0.75</v>
      </c>
      <c r="N66" s="12">
        <f>L66*(1+M66)</f>
        <v/>
      </c>
      <c r="O66" s="14" t="inlineStr">
        <is>
          <t>Sem custo cadastrado da Marfel para esta gramatura — usado apenas o valor da Alquimia.</t>
        </is>
      </c>
    </row>
    <row r="67">
      <c r="A67" s="8" t="inlineStr">
        <is>
          <t>Alça Camiseta</t>
        </is>
      </c>
      <c r="B67" s="9" t="inlineStr">
        <is>
          <t>45x60</t>
        </is>
      </c>
      <c r="C67" s="9" t="inlineStr">
        <is>
          <t>0,06</t>
        </is>
      </c>
      <c r="D67" s="9" t="inlineStr">
        <is>
          <t>300–399</t>
        </is>
      </c>
      <c r="E67" s="9" t="n">
        <v>300</v>
      </c>
      <c r="F67" s="10" t="n">
        <v>0</v>
      </c>
      <c r="G67" s="10" t="n">
        <v>0.322</v>
      </c>
      <c r="H67" s="10" t="n">
        <v>0.322</v>
      </c>
      <c r="I67" s="11" t="inlineStr">
        <is>
          <t>Alquimia (unico)</t>
        </is>
      </c>
      <c r="J67" s="10" t="n">
        <v>0.3</v>
      </c>
      <c r="K67" s="12">
        <f>J67*E67</f>
        <v/>
      </c>
      <c r="L67" s="12">
        <f>H67+J67</f>
        <v/>
      </c>
      <c r="M67" s="13" t="n">
        <v>0.7</v>
      </c>
      <c r="N67" s="12">
        <f>L67*(1+M67)</f>
        <v/>
      </c>
      <c r="O67" s="14" t="inlineStr">
        <is>
          <t>Sem custo cadastrado da Marfel para esta gramatura — usado apenas o valor da Alquimia.</t>
        </is>
      </c>
    </row>
    <row r="68">
      <c r="A68" s="8" t="inlineStr">
        <is>
          <t>Alça Camiseta</t>
        </is>
      </c>
      <c r="B68" s="9" t="inlineStr">
        <is>
          <t>45x60</t>
        </is>
      </c>
      <c r="C68" s="9" t="inlineStr">
        <is>
          <t>0,06</t>
        </is>
      </c>
      <c r="D68" s="9" t="inlineStr">
        <is>
          <t>400–499</t>
        </is>
      </c>
      <c r="E68" s="9" t="n">
        <v>400</v>
      </c>
      <c r="F68" s="10" t="n">
        <v>0</v>
      </c>
      <c r="G68" s="10" t="n">
        <v>0.322</v>
      </c>
      <c r="H68" s="10" t="n">
        <v>0.322</v>
      </c>
      <c r="I68" s="11" t="inlineStr">
        <is>
          <t>Alquimia (unico)</t>
        </is>
      </c>
      <c r="J68" s="10" t="n">
        <v>0.3</v>
      </c>
      <c r="K68" s="12">
        <f>J68*E68</f>
        <v/>
      </c>
      <c r="L68" s="12">
        <f>H68+J68</f>
        <v/>
      </c>
      <c r="M68" s="13" t="n">
        <v>0.65</v>
      </c>
      <c r="N68" s="12">
        <f>L68*(1+M68)</f>
        <v/>
      </c>
      <c r="O68" s="14" t="inlineStr">
        <is>
          <t>Sem custo cadastrado da Marfel para esta gramatura — usado apenas o valor da Alquimia.</t>
        </is>
      </c>
    </row>
    <row r="69">
      <c r="A69" s="8" t="inlineStr">
        <is>
          <t>Alça Camiseta</t>
        </is>
      </c>
      <c r="B69" s="9" t="inlineStr">
        <is>
          <t>45x60</t>
        </is>
      </c>
      <c r="C69" s="9" t="inlineStr">
        <is>
          <t>0,06</t>
        </is>
      </c>
      <c r="D69" s="9" t="inlineStr">
        <is>
          <t>500–599</t>
        </is>
      </c>
      <c r="E69" s="9" t="n">
        <v>500</v>
      </c>
      <c r="F69" s="10" t="n">
        <v>0</v>
      </c>
      <c r="G69" s="10" t="n">
        <v>0.322</v>
      </c>
      <c r="H69" s="10" t="n">
        <v>0.322</v>
      </c>
      <c r="I69" s="11" t="inlineStr">
        <is>
          <t>Alquimia (unico)</t>
        </is>
      </c>
      <c r="J69" s="10" t="n">
        <v>0.3</v>
      </c>
      <c r="K69" s="12">
        <f>J69*E69</f>
        <v/>
      </c>
      <c r="L69" s="12">
        <f>H69+J69</f>
        <v/>
      </c>
      <c r="M69" s="13" t="n">
        <v>0.6</v>
      </c>
      <c r="N69" s="12">
        <f>L69*(1+M69)</f>
        <v/>
      </c>
      <c r="O69" s="14" t="inlineStr">
        <is>
          <t>Sem custo cadastrado da Marfel para esta gramatura — usado apenas o valor da Alquimia.</t>
        </is>
      </c>
    </row>
    <row r="70">
      <c r="A70" s="8" t="inlineStr">
        <is>
          <t>Alça Camiseta</t>
        </is>
      </c>
      <c r="B70" s="9" t="inlineStr">
        <is>
          <t>45x60</t>
        </is>
      </c>
      <c r="C70" s="9" t="inlineStr">
        <is>
          <t>0,06</t>
        </is>
      </c>
      <c r="D70" s="9" t="inlineStr">
        <is>
          <t>600–699</t>
        </is>
      </c>
      <c r="E70" s="9" t="n">
        <v>600</v>
      </c>
      <c r="F70" s="10" t="n">
        <v>0</v>
      </c>
      <c r="G70" s="10" t="n">
        <v>0.322</v>
      </c>
      <c r="H70" s="10" t="n">
        <v>0.322</v>
      </c>
      <c r="I70" s="11" t="inlineStr">
        <is>
          <t>Alquimia (unico)</t>
        </is>
      </c>
      <c r="J70" s="10" t="n">
        <v>0.3</v>
      </c>
      <c r="K70" s="12">
        <f>J70*E70</f>
        <v/>
      </c>
      <c r="L70" s="12">
        <f>H70+J70</f>
        <v/>
      </c>
      <c r="M70" s="13" t="n">
        <v>0.57</v>
      </c>
      <c r="N70" s="12">
        <f>L70*(1+M70)</f>
        <v/>
      </c>
      <c r="O70" s="14" t="inlineStr">
        <is>
          <t>Sem custo cadastrado da Marfel para esta gramatura — usado apenas o valor da Alquimia.</t>
        </is>
      </c>
    </row>
    <row r="71">
      <c r="A71" s="8" t="inlineStr">
        <is>
          <t>Alça Camiseta</t>
        </is>
      </c>
      <c r="B71" s="9" t="inlineStr">
        <is>
          <t>45x60</t>
        </is>
      </c>
      <c r="C71" s="9" t="inlineStr">
        <is>
          <t>0,06</t>
        </is>
      </c>
      <c r="D71" s="9" t="inlineStr">
        <is>
          <t>700–799</t>
        </is>
      </c>
      <c r="E71" s="9" t="n">
        <v>700</v>
      </c>
      <c r="F71" s="10" t="n">
        <v>0</v>
      </c>
      <c r="G71" s="10" t="n">
        <v>0.322</v>
      </c>
      <c r="H71" s="10" t="n">
        <v>0.322</v>
      </c>
      <c r="I71" s="11" t="inlineStr">
        <is>
          <t>Alquimia (unico)</t>
        </is>
      </c>
      <c r="J71" s="10" t="n">
        <v>0.3</v>
      </c>
      <c r="K71" s="12">
        <f>J71*E71</f>
        <v/>
      </c>
      <c r="L71" s="12">
        <f>H71+J71</f>
        <v/>
      </c>
      <c r="M71" s="13" t="n">
        <v>0.54</v>
      </c>
      <c r="N71" s="12">
        <f>L71*(1+M71)</f>
        <v/>
      </c>
      <c r="O71" s="14" t="inlineStr">
        <is>
          <t>Sem custo cadastrado da Marfel para esta gramatura — usado apenas o valor da Alquimia.</t>
        </is>
      </c>
    </row>
    <row r="72">
      <c r="A72" s="8" t="inlineStr">
        <is>
          <t>Alça Camiseta</t>
        </is>
      </c>
      <c r="B72" s="9" t="inlineStr">
        <is>
          <t>45x60</t>
        </is>
      </c>
      <c r="C72" s="9" t="inlineStr">
        <is>
          <t>0,06</t>
        </is>
      </c>
      <c r="D72" s="9" t="inlineStr">
        <is>
          <t>800–899</t>
        </is>
      </c>
      <c r="E72" s="9" t="n">
        <v>800</v>
      </c>
      <c r="F72" s="10" t="n">
        <v>0</v>
      </c>
      <c r="G72" s="10" t="n">
        <v>0.322</v>
      </c>
      <c r="H72" s="10" t="n">
        <v>0.322</v>
      </c>
      <c r="I72" s="11" t="inlineStr">
        <is>
          <t>Alquimia (unico)</t>
        </is>
      </c>
      <c r="J72" s="10" t="n">
        <v>0.3</v>
      </c>
      <c r="K72" s="12">
        <f>J72*E72</f>
        <v/>
      </c>
      <c r="L72" s="12">
        <f>H72+J72</f>
        <v/>
      </c>
      <c r="M72" s="13" t="n">
        <v>0.51</v>
      </c>
      <c r="N72" s="12">
        <f>L72*(1+M72)</f>
        <v/>
      </c>
      <c r="O72" s="14" t="inlineStr">
        <is>
          <t>Sem custo cadastrado da Marfel para esta gramatura — usado apenas o valor da Alquimia.</t>
        </is>
      </c>
    </row>
    <row r="73">
      <c r="A73" s="8" t="inlineStr">
        <is>
          <t>Alça Camiseta</t>
        </is>
      </c>
      <c r="B73" s="9" t="inlineStr">
        <is>
          <t>45x60</t>
        </is>
      </c>
      <c r="C73" s="9" t="inlineStr">
        <is>
          <t>0,06</t>
        </is>
      </c>
      <c r="D73" s="9" t="inlineStr">
        <is>
          <t>900–999</t>
        </is>
      </c>
      <c r="E73" s="9" t="n">
        <v>900</v>
      </c>
      <c r="F73" s="10" t="n">
        <v>0</v>
      </c>
      <c r="G73" s="10" t="n">
        <v>0.322</v>
      </c>
      <c r="H73" s="10" t="n">
        <v>0.322</v>
      </c>
      <c r="I73" s="11" t="inlineStr">
        <is>
          <t>Alquimia (unico)</t>
        </is>
      </c>
      <c r="J73" s="10" t="n">
        <v>0.3</v>
      </c>
      <c r="K73" s="12">
        <f>J73*E73</f>
        <v/>
      </c>
      <c r="L73" s="12">
        <f>H73+J73</f>
        <v/>
      </c>
      <c r="M73" s="13" t="n">
        <v>0.48</v>
      </c>
      <c r="N73" s="12">
        <f>L73*(1+M73)</f>
        <v/>
      </c>
      <c r="O73" s="14" t="inlineStr">
        <is>
          <t>Sem custo cadastrado da Marfel para esta gramatura — usado apenas o valor da Alquimia.</t>
        </is>
      </c>
    </row>
    <row r="74">
      <c r="A74" s="8" t="inlineStr">
        <is>
          <t>Alça Camiseta</t>
        </is>
      </c>
      <c r="B74" s="9" t="inlineStr">
        <is>
          <t>45x60</t>
        </is>
      </c>
      <c r="C74" s="9" t="inlineStr">
        <is>
          <t>0,06</t>
        </is>
      </c>
      <c r="D74" s="9" t="inlineStr">
        <is>
          <t>1000+</t>
        </is>
      </c>
      <c r="E74" s="9" t="n">
        <v>1000</v>
      </c>
      <c r="F74" s="10" t="n">
        <v>0</v>
      </c>
      <c r="G74" s="10" t="n">
        <v>0.322</v>
      </c>
      <c r="H74" s="10" t="n">
        <v>0.322</v>
      </c>
      <c r="I74" s="11" t="inlineStr">
        <is>
          <t>Alquimia (unico)</t>
        </is>
      </c>
      <c r="J74" s="10" t="n">
        <v>0.3</v>
      </c>
      <c r="K74" s="12">
        <f>J74*E74</f>
        <v/>
      </c>
      <c r="L74" s="12">
        <f>H74+J74</f>
        <v/>
      </c>
      <c r="M74" s="13" t="n">
        <v>0.4</v>
      </c>
      <c r="N74" s="12">
        <f>L74*(1+M74)</f>
        <v/>
      </c>
      <c r="O74" s="14" t="inlineStr">
        <is>
          <t>Sem custo cadastrado da Marfel para esta gramatura — usado apenas o valor da Alquimia.</t>
        </is>
      </c>
    </row>
    <row r="75">
      <c r="A75" s="15" t="inlineStr">
        <is>
          <t>Alça Camiseta</t>
        </is>
      </c>
      <c r="B75" s="16" t="inlineStr">
        <is>
          <t>50x70</t>
        </is>
      </c>
      <c r="C75" s="16" t="inlineStr">
        <is>
          <t>0,06</t>
        </is>
      </c>
      <c r="D75" s="16" t="inlineStr">
        <is>
          <t>100–199</t>
        </is>
      </c>
      <c r="E75" s="16" t="n">
        <v>100</v>
      </c>
      <c r="F75" s="17" t="n">
        <v>0.6498</v>
      </c>
      <c r="G75" s="17" t="n">
        <v>0.4347</v>
      </c>
      <c r="H75" s="17" t="n">
        <v>0.6498</v>
      </c>
      <c r="I75" s="18" t="inlineStr">
        <is>
          <t>Marfel</t>
        </is>
      </c>
      <c r="J75" s="17" t="n">
        <v>0.3</v>
      </c>
      <c r="K75" s="19">
        <f>J75*E75</f>
        <v/>
      </c>
      <c r="L75" s="19">
        <f>H75+J75</f>
        <v/>
      </c>
      <c r="M75" s="20" t="n">
        <v>1</v>
      </c>
      <c r="N75" s="19">
        <f>L75*(1+M75)</f>
        <v/>
      </c>
      <c r="O75" s="21" t="inlineStr"/>
    </row>
    <row r="76">
      <c r="A76" s="15" t="inlineStr">
        <is>
          <t>Alça Camiseta</t>
        </is>
      </c>
      <c r="B76" s="16" t="inlineStr">
        <is>
          <t>50x70</t>
        </is>
      </c>
      <c r="C76" s="16" t="inlineStr">
        <is>
          <t>0,06</t>
        </is>
      </c>
      <c r="D76" s="16" t="inlineStr">
        <is>
          <t>200–299</t>
        </is>
      </c>
      <c r="E76" s="16" t="n">
        <v>200</v>
      </c>
      <c r="F76" s="17" t="n">
        <v>0.6498</v>
      </c>
      <c r="G76" s="17" t="n">
        <v>0.4347</v>
      </c>
      <c r="H76" s="17" t="n">
        <v>0.6498</v>
      </c>
      <c r="I76" s="18" t="inlineStr">
        <is>
          <t>Marfel</t>
        </is>
      </c>
      <c r="J76" s="17" t="n">
        <v>0.3</v>
      </c>
      <c r="K76" s="19">
        <f>J76*E76</f>
        <v/>
      </c>
      <c r="L76" s="19">
        <f>H76+J76</f>
        <v/>
      </c>
      <c r="M76" s="20" t="n">
        <v>0.75</v>
      </c>
      <c r="N76" s="19">
        <f>L76*(1+M76)</f>
        <v/>
      </c>
      <c r="O76" s="21" t="inlineStr"/>
    </row>
    <row r="77">
      <c r="A77" s="15" t="inlineStr">
        <is>
          <t>Alça Camiseta</t>
        </is>
      </c>
      <c r="B77" s="16" t="inlineStr">
        <is>
          <t>50x70</t>
        </is>
      </c>
      <c r="C77" s="16" t="inlineStr">
        <is>
          <t>0,06</t>
        </is>
      </c>
      <c r="D77" s="16" t="inlineStr">
        <is>
          <t>300–399</t>
        </is>
      </c>
      <c r="E77" s="16" t="n">
        <v>300</v>
      </c>
      <c r="F77" s="17" t="n">
        <v>0.6498</v>
      </c>
      <c r="G77" s="17" t="n">
        <v>0.4347</v>
      </c>
      <c r="H77" s="17" t="n">
        <v>0.6498</v>
      </c>
      <c r="I77" s="18" t="inlineStr">
        <is>
          <t>Marfel</t>
        </is>
      </c>
      <c r="J77" s="17" t="n">
        <v>0.3</v>
      </c>
      <c r="K77" s="19">
        <f>J77*E77</f>
        <v/>
      </c>
      <c r="L77" s="19">
        <f>H77+J77</f>
        <v/>
      </c>
      <c r="M77" s="20" t="n">
        <v>0.7</v>
      </c>
      <c r="N77" s="19">
        <f>L77*(1+M77)</f>
        <v/>
      </c>
      <c r="O77" s="21" t="inlineStr"/>
    </row>
    <row r="78">
      <c r="A78" s="15" t="inlineStr">
        <is>
          <t>Alça Camiseta</t>
        </is>
      </c>
      <c r="B78" s="16" t="inlineStr">
        <is>
          <t>50x70</t>
        </is>
      </c>
      <c r="C78" s="16" t="inlineStr">
        <is>
          <t>0,06</t>
        </is>
      </c>
      <c r="D78" s="16" t="inlineStr">
        <is>
          <t>400–499</t>
        </is>
      </c>
      <c r="E78" s="16" t="n">
        <v>400</v>
      </c>
      <c r="F78" s="17" t="n">
        <v>0.6498</v>
      </c>
      <c r="G78" s="17" t="n">
        <v>0.4347</v>
      </c>
      <c r="H78" s="17" t="n">
        <v>0.6498</v>
      </c>
      <c r="I78" s="18" t="inlineStr">
        <is>
          <t>Marfel</t>
        </is>
      </c>
      <c r="J78" s="17" t="n">
        <v>0.3</v>
      </c>
      <c r="K78" s="19">
        <f>J78*E78</f>
        <v/>
      </c>
      <c r="L78" s="19">
        <f>H78+J78</f>
        <v/>
      </c>
      <c r="M78" s="20" t="n">
        <v>0.65</v>
      </c>
      <c r="N78" s="19">
        <f>L78*(1+M78)</f>
        <v/>
      </c>
      <c r="O78" s="21" t="inlineStr"/>
    </row>
    <row r="79">
      <c r="A79" s="15" t="inlineStr">
        <is>
          <t>Alça Camiseta</t>
        </is>
      </c>
      <c r="B79" s="16" t="inlineStr">
        <is>
          <t>50x70</t>
        </is>
      </c>
      <c r="C79" s="16" t="inlineStr">
        <is>
          <t>0,06</t>
        </is>
      </c>
      <c r="D79" s="16" t="inlineStr">
        <is>
          <t>500–599</t>
        </is>
      </c>
      <c r="E79" s="16" t="n">
        <v>500</v>
      </c>
      <c r="F79" s="17" t="n">
        <v>0.6498</v>
      </c>
      <c r="G79" s="17" t="n">
        <v>0.4347</v>
      </c>
      <c r="H79" s="17" t="n">
        <v>0.6498</v>
      </c>
      <c r="I79" s="18" t="inlineStr">
        <is>
          <t>Marfel</t>
        </is>
      </c>
      <c r="J79" s="17" t="n">
        <v>0.3</v>
      </c>
      <c r="K79" s="19">
        <f>J79*E79</f>
        <v/>
      </c>
      <c r="L79" s="19">
        <f>H79+J79</f>
        <v/>
      </c>
      <c r="M79" s="20" t="n">
        <v>0.6</v>
      </c>
      <c r="N79" s="19">
        <f>L79*(1+M79)</f>
        <v/>
      </c>
      <c r="O79" s="21" t="inlineStr"/>
    </row>
    <row r="80">
      <c r="A80" s="15" t="inlineStr">
        <is>
          <t>Alça Camiseta</t>
        </is>
      </c>
      <c r="B80" s="16" t="inlineStr">
        <is>
          <t>50x70</t>
        </is>
      </c>
      <c r="C80" s="16" t="inlineStr">
        <is>
          <t>0,06</t>
        </is>
      </c>
      <c r="D80" s="16" t="inlineStr">
        <is>
          <t>600–699</t>
        </is>
      </c>
      <c r="E80" s="16" t="n">
        <v>600</v>
      </c>
      <c r="F80" s="17" t="n">
        <v>0.6498</v>
      </c>
      <c r="G80" s="17" t="n">
        <v>0.4347</v>
      </c>
      <c r="H80" s="17" t="n">
        <v>0.6498</v>
      </c>
      <c r="I80" s="18" t="inlineStr">
        <is>
          <t>Marfel</t>
        </is>
      </c>
      <c r="J80" s="17" t="n">
        <v>0.3</v>
      </c>
      <c r="K80" s="19">
        <f>J80*E80</f>
        <v/>
      </c>
      <c r="L80" s="19">
        <f>H80+J80</f>
        <v/>
      </c>
      <c r="M80" s="20" t="n">
        <v>0.57</v>
      </c>
      <c r="N80" s="19">
        <f>L80*(1+M80)</f>
        <v/>
      </c>
      <c r="O80" s="21" t="inlineStr"/>
    </row>
    <row r="81">
      <c r="A81" s="15" t="inlineStr">
        <is>
          <t>Alça Camiseta</t>
        </is>
      </c>
      <c r="B81" s="16" t="inlineStr">
        <is>
          <t>50x70</t>
        </is>
      </c>
      <c r="C81" s="16" t="inlineStr">
        <is>
          <t>0,06</t>
        </is>
      </c>
      <c r="D81" s="16" t="inlineStr">
        <is>
          <t>700–799</t>
        </is>
      </c>
      <c r="E81" s="16" t="n">
        <v>700</v>
      </c>
      <c r="F81" s="17" t="n">
        <v>0.6498</v>
      </c>
      <c r="G81" s="17" t="n">
        <v>0.4347</v>
      </c>
      <c r="H81" s="17" t="n">
        <v>0.6498</v>
      </c>
      <c r="I81" s="18" t="inlineStr">
        <is>
          <t>Marfel</t>
        </is>
      </c>
      <c r="J81" s="17" t="n">
        <v>0.3</v>
      </c>
      <c r="K81" s="19">
        <f>J81*E81</f>
        <v/>
      </c>
      <c r="L81" s="19">
        <f>H81+J81</f>
        <v/>
      </c>
      <c r="M81" s="20" t="n">
        <v>0.54</v>
      </c>
      <c r="N81" s="19">
        <f>L81*(1+M81)</f>
        <v/>
      </c>
      <c r="O81" s="21" t="inlineStr"/>
    </row>
    <row r="82">
      <c r="A82" s="15" t="inlineStr">
        <is>
          <t>Alça Camiseta</t>
        </is>
      </c>
      <c r="B82" s="16" t="inlineStr">
        <is>
          <t>50x70</t>
        </is>
      </c>
      <c r="C82" s="16" t="inlineStr">
        <is>
          <t>0,06</t>
        </is>
      </c>
      <c r="D82" s="16" t="inlineStr">
        <is>
          <t>800–899</t>
        </is>
      </c>
      <c r="E82" s="16" t="n">
        <v>800</v>
      </c>
      <c r="F82" s="17" t="n">
        <v>0.6498</v>
      </c>
      <c r="G82" s="17" t="n">
        <v>0.4347</v>
      </c>
      <c r="H82" s="17" t="n">
        <v>0.6498</v>
      </c>
      <c r="I82" s="18" t="inlineStr">
        <is>
          <t>Marfel</t>
        </is>
      </c>
      <c r="J82" s="17" t="n">
        <v>0.3</v>
      </c>
      <c r="K82" s="19">
        <f>J82*E82</f>
        <v/>
      </c>
      <c r="L82" s="19">
        <f>H82+J82</f>
        <v/>
      </c>
      <c r="M82" s="20" t="n">
        <v>0.51</v>
      </c>
      <c r="N82" s="19">
        <f>L82*(1+M82)</f>
        <v/>
      </c>
      <c r="O82" s="21" t="inlineStr"/>
    </row>
    <row r="83">
      <c r="A83" s="15" t="inlineStr">
        <is>
          <t>Alça Camiseta</t>
        </is>
      </c>
      <c r="B83" s="16" t="inlineStr">
        <is>
          <t>50x70</t>
        </is>
      </c>
      <c r="C83" s="16" t="inlineStr">
        <is>
          <t>0,06</t>
        </is>
      </c>
      <c r="D83" s="16" t="inlineStr">
        <is>
          <t>900–999</t>
        </is>
      </c>
      <c r="E83" s="16" t="n">
        <v>900</v>
      </c>
      <c r="F83" s="17" t="n">
        <v>0.6498</v>
      </c>
      <c r="G83" s="17" t="n">
        <v>0.4347</v>
      </c>
      <c r="H83" s="17" t="n">
        <v>0.6498</v>
      </c>
      <c r="I83" s="18" t="inlineStr">
        <is>
          <t>Marfel</t>
        </is>
      </c>
      <c r="J83" s="17" t="n">
        <v>0.3</v>
      </c>
      <c r="K83" s="19">
        <f>J83*E83</f>
        <v/>
      </c>
      <c r="L83" s="19">
        <f>H83+J83</f>
        <v/>
      </c>
      <c r="M83" s="20" t="n">
        <v>0.48</v>
      </c>
      <c r="N83" s="19">
        <f>L83*(1+M83)</f>
        <v/>
      </c>
      <c r="O83" s="21" t="inlineStr"/>
    </row>
    <row r="84">
      <c r="A84" s="15" t="inlineStr">
        <is>
          <t>Alça Camiseta</t>
        </is>
      </c>
      <c r="B84" s="16" t="inlineStr">
        <is>
          <t>50x70</t>
        </is>
      </c>
      <c r="C84" s="16" t="inlineStr">
        <is>
          <t>0,06</t>
        </is>
      </c>
      <c r="D84" s="16" t="inlineStr">
        <is>
          <t>1000+</t>
        </is>
      </c>
      <c r="E84" s="16" t="n">
        <v>1000</v>
      </c>
      <c r="F84" s="17" t="n">
        <v>0.6498</v>
      </c>
      <c r="G84" s="17" t="n">
        <v>0.4347</v>
      </c>
      <c r="H84" s="17" t="n">
        <v>0.6498</v>
      </c>
      <c r="I84" s="18" t="inlineStr">
        <is>
          <t>Marfel</t>
        </is>
      </c>
      <c r="J84" s="17" t="n">
        <v>0.3</v>
      </c>
      <c r="K84" s="19">
        <f>J84*E84</f>
        <v/>
      </c>
      <c r="L84" s="19">
        <f>H84+J84</f>
        <v/>
      </c>
      <c r="M84" s="20" t="n">
        <v>0.4</v>
      </c>
      <c r="N84" s="19">
        <f>L84*(1+M84)</f>
        <v/>
      </c>
      <c r="O84" s="21" t="inlineStr"/>
    </row>
    <row r="85">
      <c r="A85" s="8" t="inlineStr">
        <is>
          <t>Alça Camiseta</t>
        </is>
      </c>
      <c r="B85" s="9" t="inlineStr">
        <is>
          <t>60x80</t>
        </is>
      </c>
      <c r="C85" s="9" t="inlineStr">
        <is>
          <t>0,06</t>
        </is>
      </c>
      <c r="D85" s="9" t="inlineStr">
        <is>
          <t>100–199</t>
        </is>
      </c>
      <c r="E85" s="9" t="n">
        <v>100</v>
      </c>
      <c r="F85" s="10" t="n">
        <v>0.9576</v>
      </c>
      <c r="G85" s="10" t="n">
        <v>0</v>
      </c>
      <c r="H85" s="10" t="n">
        <v>0.9576</v>
      </c>
      <c r="I85" s="11" t="inlineStr">
        <is>
          <t>Marfel (unico)</t>
        </is>
      </c>
      <c r="J85" s="10" t="n">
        <v>0.3</v>
      </c>
      <c r="K85" s="12">
        <f>J85*E85</f>
        <v/>
      </c>
      <c r="L85" s="12">
        <f>H85+J85</f>
        <v/>
      </c>
      <c r="M85" s="13" t="n">
        <v>1</v>
      </c>
      <c r="N85" s="12">
        <f>L85*(1+M85)</f>
        <v/>
      </c>
      <c r="O85" s="14" t="inlineStr">
        <is>
          <t>Sem custo cadastrado da Alquimia para esta gramatura — usado apenas o valor da Marfel.</t>
        </is>
      </c>
    </row>
    <row r="86">
      <c r="A86" s="8" t="inlineStr">
        <is>
          <t>Alça Camiseta</t>
        </is>
      </c>
      <c r="B86" s="9" t="inlineStr">
        <is>
          <t>60x80</t>
        </is>
      </c>
      <c r="C86" s="9" t="inlineStr">
        <is>
          <t>0,06</t>
        </is>
      </c>
      <c r="D86" s="9" t="inlineStr">
        <is>
          <t>200–299</t>
        </is>
      </c>
      <c r="E86" s="9" t="n">
        <v>200</v>
      </c>
      <c r="F86" s="10" t="n">
        <v>0.9576</v>
      </c>
      <c r="G86" s="10" t="n">
        <v>0</v>
      </c>
      <c r="H86" s="10" t="n">
        <v>0.9576</v>
      </c>
      <c r="I86" s="11" t="inlineStr">
        <is>
          <t>Marfel (unico)</t>
        </is>
      </c>
      <c r="J86" s="10" t="n">
        <v>0.3</v>
      </c>
      <c r="K86" s="12">
        <f>J86*E86</f>
        <v/>
      </c>
      <c r="L86" s="12">
        <f>H86+J86</f>
        <v/>
      </c>
      <c r="M86" s="13" t="n">
        <v>0.75</v>
      </c>
      <c r="N86" s="12">
        <f>L86*(1+M86)</f>
        <v/>
      </c>
      <c r="O86" s="14" t="inlineStr">
        <is>
          <t>Sem custo cadastrado da Alquimia para esta gramatura — usado apenas o valor da Marfel.</t>
        </is>
      </c>
    </row>
    <row r="87">
      <c r="A87" s="8" t="inlineStr">
        <is>
          <t>Alça Camiseta</t>
        </is>
      </c>
      <c r="B87" s="9" t="inlineStr">
        <is>
          <t>60x80</t>
        </is>
      </c>
      <c r="C87" s="9" t="inlineStr">
        <is>
          <t>0,06</t>
        </is>
      </c>
      <c r="D87" s="9" t="inlineStr">
        <is>
          <t>300–399</t>
        </is>
      </c>
      <c r="E87" s="9" t="n">
        <v>300</v>
      </c>
      <c r="F87" s="10" t="n">
        <v>0.9576</v>
      </c>
      <c r="G87" s="10" t="n">
        <v>0</v>
      </c>
      <c r="H87" s="10" t="n">
        <v>0.9576</v>
      </c>
      <c r="I87" s="11" t="inlineStr">
        <is>
          <t>Marfel (unico)</t>
        </is>
      </c>
      <c r="J87" s="10" t="n">
        <v>0.3</v>
      </c>
      <c r="K87" s="12">
        <f>J87*E87</f>
        <v/>
      </c>
      <c r="L87" s="12">
        <f>H87+J87</f>
        <v/>
      </c>
      <c r="M87" s="13" t="n">
        <v>0.7</v>
      </c>
      <c r="N87" s="12">
        <f>L87*(1+M87)</f>
        <v/>
      </c>
      <c r="O87" s="14" t="inlineStr">
        <is>
          <t>Sem custo cadastrado da Alquimia para esta gramatura — usado apenas o valor da Marfel.</t>
        </is>
      </c>
    </row>
    <row r="88">
      <c r="A88" s="8" t="inlineStr">
        <is>
          <t>Alça Camiseta</t>
        </is>
      </c>
      <c r="B88" s="9" t="inlineStr">
        <is>
          <t>60x80</t>
        </is>
      </c>
      <c r="C88" s="9" t="inlineStr">
        <is>
          <t>0,06</t>
        </is>
      </c>
      <c r="D88" s="9" t="inlineStr">
        <is>
          <t>400–499</t>
        </is>
      </c>
      <c r="E88" s="9" t="n">
        <v>400</v>
      </c>
      <c r="F88" s="10" t="n">
        <v>0.9576</v>
      </c>
      <c r="G88" s="10" t="n">
        <v>0</v>
      </c>
      <c r="H88" s="10" t="n">
        <v>0.9576</v>
      </c>
      <c r="I88" s="11" t="inlineStr">
        <is>
          <t>Marfel (unico)</t>
        </is>
      </c>
      <c r="J88" s="10" t="n">
        <v>0.3</v>
      </c>
      <c r="K88" s="12">
        <f>J88*E88</f>
        <v/>
      </c>
      <c r="L88" s="12">
        <f>H88+J88</f>
        <v/>
      </c>
      <c r="M88" s="13" t="n">
        <v>0.65</v>
      </c>
      <c r="N88" s="12">
        <f>L88*(1+M88)</f>
        <v/>
      </c>
      <c r="O88" s="14" t="inlineStr">
        <is>
          <t>Sem custo cadastrado da Alquimia para esta gramatura — usado apenas o valor da Marfel.</t>
        </is>
      </c>
    </row>
    <row r="89">
      <c r="A89" s="8" t="inlineStr">
        <is>
          <t>Alça Camiseta</t>
        </is>
      </c>
      <c r="B89" s="9" t="inlineStr">
        <is>
          <t>60x80</t>
        </is>
      </c>
      <c r="C89" s="9" t="inlineStr">
        <is>
          <t>0,06</t>
        </is>
      </c>
      <c r="D89" s="9" t="inlineStr">
        <is>
          <t>500–599</t>
        </is>
      </c>
      <c r="E89" s="9" t="n">
        <v>500</v>
      </c>
      <c r="F89" s="10" t="n">
        <v>0.9576</v>
      </c>
      <c r="G89" s="10" t="n">
        <v>0</v>
      </c>
      <c r="H89" s="10" t="n">
        <v>0.9576</v>
      </c>
      <c r="I89" s="11" t="inlineStr">
        <is>
          <t>Marfel (unico)</t>
        </is>
      </c>
      <c r="J89" s="10" t="n">
        <v>0.3</v>
      </c>
      <c r="K89" s="12">
        <f>J89*E89</f>
        <v/>
      </c>
      <c r="L89" s="12">
        <f>H89+J89</f>
        <v/>
      </c>
      <c r="M89" s="13" t="n">
        <v>0.6</v>
      </c>
      <c r="N89" s="12">
        <f>L89*(1+M89)</f>
        <v/>
      </c>
      <c r="O89" s="14" t="inlineStr">
        <is>
          <t>Sem custo cadastrado da Alquimia para esta gramatura — usado apenas o valor da Marfel.</t>
        </is>
      </c>
    </row>
    <row r="90">
      <c r="A90" s="8" t="inlineStr">
        <is>
          <t>Alça Camiseta</t>
        </is>
      </c>
      <c r="B90" s="9" t="inlineStr">
        <is>
          <t>60x80</t>
        </is>
      </c>
      <c r="C90" s="9" t="inlineStr">
        <is>
          <t>0,06</t>
        </is>
      </c>
      <c r="D90" s="9" t="inlineStr">
        <is>
          <t>600–699</t>
        </is>
      </c>
      <c r="E90" s="9" t="n">
        <v>600</v>
      </c>
      <c r="F90" s="10" t="n">
        <v>0.9576</v>
      </c>
      <c r="G90" s="10" t="n">
        <v>0</v>
      </c>
      <c r="H90" s="10" t="n">
        <v>0.9576</v>
      </c>
      <c r="I90" s="11" t="inlineStr">
        <is>
          <t>Marfel (unico)</t>
        </is>
      </c>
      <c r="J90" s="10" t="n">
        <v>0.3</v>
      </c>
      <c r="K90" s="12">
        <f>J90*E90</f>
        <v/>
      </c>
      <c r="L90" s="12">
        <f>H90+J90</f>
        <v/>
      </c>
      <c r="M90" s="13" t="n">
        <v>0.57</v>
      </c>
      <c r="N90" s="12">
        <f>L90*(1+M90)</f>
        <v/>
      </c>
      <c r="O90" s="14" t="inlineStr">
        <is>
          <t>Sem custo cadastrado da Alquimia para esta gramatura — usado apenas o valor da Marfel.</t>
        </is>
      </c>
    </row>
    <row r="91">
      <c r="A91" s="8" t="inlineStr">
        <is>
          <t>Alça Camiseta</t>
        </is>
      </c>
      <c r="B91" s="9" t="inlineStr">
        <is>
          <t>60x80</t>
        </is>
      </c>
      <c r="C91" s="9" t="inlineStr">
        <is>
          <t>0,06</t>
        </is>
      </c>
      <c r="D91" s="9" t="inlineStr">
        <is>
          <t>700–799</t>
        </is>
      </c>
      <c r="E91" s="9" t="n">
        <v>700</v>
      </c>
      <c r="F91" s="10" t="n">
        <v>0.9576</v>
      </c>
      <c r="G91" s="10" t="n">
        <v>0</v>
      </c>
      <c r="H91" s="10" t="n">
        <v>0.9576</v>
      </c>
      <c r="I91" s="11" t="inlineStr">
        <is>
          <t>Marfel (unico)</t>
        </is>
      </c>
      <c r="J91" s="10" t="n">
        <v>0.3</v>
      </c>
      <c r="K91" s="12">
        <f>J91*E91</f>
        <v/>
      </c>
      <c r="L91" s="12">
        <f>H91+J91</f>
        <v/>
      </c>
      <c r="M91" s="13" t="n">
        <v>0.54</v>
      </c>
      <c r="N91" s="12">
        <f>L91*(1+M91)</f>
        <v/>
      </c>
      <c r="O91" s="14" t="inlineStr">
        <is>
          <t>Sem custo cadastrado da Alquimia para esta gramatura — usado apenas o valor da Marfel.</t>
        </is>
      </c>
    </row>
    <row r="92">
      <c r="A92" s="8" t="inlineStr">
        <is>
          <t>Alça Camiseta</t>
        </is>
      </c>
      <c r="B92" s="9" t="inlineStr">
        <is>
          <t>60x80</t>
        </is>
      </c>
      <c r="C92" s="9" t="inlineStr">
        <is>
          <t>0,06</t>
        </is>
      </c>
      <c r="D92" s="9" t="inlineStr">
        <is>
          <t>800–899</t>
        </is>
      </c>
      <c r="E92" s="9" t="n">
        <v>800</v>
      </c>
      <c r="F92" s="10" t="n">
        <v>0.9576</v>
      </c>
      <c r="G92" s="10" t="n">
        <v>0</v>
      </c>
      <c r="H92" s="10" t="n">
        <v>0.9576</v>
      </c>
      <c r="I92" s="11" t="inlineStr">
        <is>
          <t>Marfel (unico)</t>
        </is>
      </c>
      <c r="J92" s="10" t="n">
        <v>0.3</v>
      </c>
      <c r="K92" s="12">
        <f>J92*E92</f>
        <v/>
      </c>
      <c r="L92" s="12">
        <f>H92+J92</f>
        <v/>
      </c>
      <c r="M92" s="13" t="n">
        <v>0.51</v>
      </c>
      <c r="N92" s="12">
        <f>L92*(1+M92)</f>
        <v/>
      </c>
      <c r="O92" s="14" t="inlineStr">
        <is>
          <t>Sem custo cadastrado da Alquimia para esta gramatura — usado apenas o valor da Marfel.</t>
        </is>
      </c>
    </row>
    <row r="93">
      <c r="A93" s="8" t="inlineStr">
        <is>
          <t>Alça Camiseta</t>
        </is>
      </c>
      <c r="B93" s="9" t="inlineStr">
        <is>
          <t>60x80</t>
        </is>
      </c>
      <c r="C93" s="9" t="inlineStr">
        <is>
          <t>0,06</t>
        </is>
      </c>
      <c r="D93" s="9" t="inlineStr">
        <is>
          <t>900–999</t>
        </is>
      </c>
      <c r="E93" s="9" t="n">
        <v>900</v>
      </c>
      <c r="F93" s="10" t="n">
        <v>0.9576</v>
      </c>
      <c r="G93" s="10" t="n">
        <v>0</v>
      </c>
      <c r="H93" s="10" t="n">
        <v>0.9576</v>
      </c>
      <c r="I93" s="11" t="inlineStr">
        <is>
          <t>Marfel (unico)</t>
        </is>
      </c>
      <c r="J93" s="10" t="n">
        <v>0.3</v>
      </c>
      <c r="K93" s="12">
        <f>J93*E93</f>
        <v/>
      </c>
      <c r="L93" s="12">
        <f>H93+J93</f>
        <v/>
      </c>
      <c r="M93" s="13" t="n">
        <v>0.48</v>
      </c>
      <c r="N93" s="12">
        <f>L93*(1+M93)</f>
        <v/>
      </c>
      <c r="O93" s="14" t="inlineStr">
        <is>
          <t>Sem custo cadastrado da Alquimia para esta gramatura — usado apenas o valor da Marfel.</t>
        </is>
      </c>
    </row>
    <row r="94">
      <c r="A94" s="8" t="inlineStr">
        <is>
          <t>Alça Camiseta</t>
        </is>
      </c>
      <c r="B94" s="9" t="inlineStr">
        <is>
          <t>60x80</t>
        </is>
      </c>
      <c r="C94" s="9" t="inlineStr">
        <is>
          <t>0,06</t>
        </is>
      </c>
      <c r="D94" s="9" t="inlineStr">
        <is>
          <t>1000+</t>
        </is>
      </c>
      <c r="E94" s="9" t="n">
        <v>1000</v>
      </c>
      <c r="F94" s="10" t="n">
        <v>0.9576</v>
      </c>
      <c r="G94" s="10" t="n">
        <v>0</v>
      </c>
      <c r="H94" s="10" t="n">
        <v>0.9576</v>
      </c>
      <c r="I94" s="11" t="inlineStr">
        <is>
          <t>Marfel (unico)</t>
        </is>
      </c>
      <c r="J94" s="10" t="n">
        <v>0.3</v>
      </c>
      <c r="K94" s="12">
        <f>J94*E94</f>
        <v/>
      </c>
      <c r="L94" s="12">
        <f>H94+J94</f>
        <v/>
      </c>
      <c r="M94" s="13" t="n">
        <v>0.4</v>
      </c>
      <c r="N94" s="12">
        <f>L94*(1+M94)</f>
        <v/>
      </c>
      <c r="O94" s="14" t="inlineStr">
        <is>
          <t>Sem custo cadastrado da Alquimia para esta gramatura — usado apenas o valor da Marfel.</t>
        </is>
      </c>
    </row>
    <row r="95">
      <c r="A95" s="8" t="inlineStr">
        <is>
          <t>Alça Camiseta</t>
        </is>
      </c>
      <c r="B95" s="9" t="inlineStr">
        <is>
          <t>60x80</t>
        </is>
      </c>
      <c r="C95" s="9" t="inlineStr">
        <is>
          <t>0,07</t>
        </is>
      </c>
      <c r="D95" s="9" t="inlineStr">
        <is>
          <t>100–199</t>
        </is>
      </c>
      <c r="E95" s="9" t="n">
        <v>100</v>
      </c>
      <c r="F95" s="10" t="n">
        <v>0</v>
      </c>
      <c r="G95" s="10" t="n">
        <v>0.795</v>
      </c>
      <c r="H95" s="10" t="n">
        <v>0.795</v>
      </c>
      <c r="I95" s="11" t="inlineStr">
        <is>
          <t>Alquimia (unico)</t>
        </is>
      </c>
      <c r="J95" s="10" t="n">
        <v>0.3</v>
      </c>
      <c r="K95" s="12">
        <f>J95*E95</f>
        <v/>
      </c>
      <c r="L95" s="12">
        <f>H95+J95</f>
        <v/>
      </c>
      <c r="M95" s="13" t="n">
        <v>1</v>
      </c>
      <c r="N95" s="12">
        <f>L95*(1+M95)</f>
        <v/>
      </c>
      <c r="O95" s="14" t="inlineStr">
        <is>
          <t>Sem custo cadastrado da Marfel para esta gramatura — usado apenas o valor da Alquimia.</t>
        </is>
      </c>
    </row>
    <row r="96">
      <c r="A96" s="8" t="inlineStr">
        <is>
          <t>Alça Camiseta</t>
        </is>
      </c>
      <c r="B96" s="9" t="inlineStr">
        <is>
          <t>60x80</t>
        </is>
      </c>
      <c r="C96" s="9" t="inlineStr">
        <is>
          <t>0,07</t>
        </is>
      </c>
      <c r="D96" s="9" t="inlineStr">
        <is>
          <t>200–299</t>
        </is>
      </c>
      <c r="E96" s="9" t="n">
        <v>200</v>
      </c>
      <c r="F96" s="10" t="n">
        <v>0</v>
      </c>
      <c r="G96" s="10" t="n">
        <v>0.795</v>
      </c>
      <c r="H96" s="10" t="n">
        <v>0.795</v>
      </c>
      <c r="I96" s="11" t="inlineStr">
        <is>
          <t>Alquimia (unico)</t>
        </is>
      </c>
      <c r="J96" s="10" t="n">
        <v>0.3</v>
      </c>
      <c r="K96" s="12">
        <f>J96*E96</f>
        <v/>
      </c>
      <c r="L96" s="12">
        <f>H96+J96</f>
        <v/>
      </c>
      <c r="M96" s="13" t="n">
        <v>0.75</v>
      </c>
      <c r="N96" s="12">
        <f>L96*(1+M96)</f>
        <v/>
      </c>
      <c r="O96" s="14" t="inlineStr">
        <is>
          <t>Sem custo cadastrado da Marfel para esta gramatura — usado apenas o valor da Alquimia.</t>
        </is>
      </c>
    </row>
    <row r="97">
      <c r="A97" s="8" t="inlineStr">
        <is>
          <t>Alça Camiseta</t>
        </is>
      </c>
      <c r="B97" s="9" t="inlineStr">
        <is>
          <t>60x80</t>
        </is>
      </c>
      <c r="C97" s="9" t="inlineStr">
        <is>
          <t>0,07</t>
        </is>
      </c>
      <c r="D97" s="9" t="inlineStr">
        <is>
          <t>300–399</t>
        </is>
      </c>
      <c r="E97" s="9" t="n">
        <v>300</v>
      </c>
      <c r="F97" s="10" t="n">
        <v>0</v>
      </c>
      <c r="G97" s="10" t="n">
        <v>0.795</v>
      </c>
      <c r="H97" s="10" t="n">
        <v>0.795</v>
      </c>
      <c r="I97" s="11" t="inlineStr">
        <is>
          <t>Alquimia (unico)</t>
        </is>
      </c>
      <c r="J97" s="10" t="n">
        <v>0.3</v>
      </c>
      <c r="K97" s="12">
        <f>J97*E97</f>
        <v/>
      </c>
      <c r="L97" s="12">
        <f>H97+J97</f>
        <v/>
      </c>
      <c r="M97" s="13" t="n">
        <v>0.7</v>
      </c>
      <c r="N97" s="12">
        <f>L97*(1+M97)</f>
        <v/>
      </c>
      <c r="O97" s="14" t="inlineStr">
        <is>
          <t>Sem custo cadastrado da Marfel para esta gramatura — usado apenas o valor da Alquimia.</t>
        </is>
      </c>
    </row>
    <row r="98">
      <c r="A98" s="8" t="inlineStr">
        <is>
          <t>Alça Camiseta</t>
        </is>
      </c>
      <c r="B98" s="9" t="inlineStr">
        <is>
          <t>60x80</t>
        </is>
      </c>
      <c r="C98" s="9" t="inlineStr">
        <is>
          <t>0,07</t>
        </is>
      </c>
      <c r="D98" s="9" t="inlineStr">
        <is>
          <t>400–499</t>
        </is>
      </c>
      <c r="E98" s="9" t="n">
        <v>400</v>
      </c>
      <c r="F98" s="10" t="n">
        <v>0</v>
      </c>
      <c r="G98" s="10" t="n">
        <v>0.795</v>
      </c>
      <c r="H98" s="10" t="n">
        <v>0.795</v>
      </c>
      <c r="I98" s="11" t="inlineStr">
        <is>
          <t>Alquimia (unico)</t>
        </is>
      </c>
      <c r="J98" s="10" t="n">
        <v>0.3</v>
      </c>
      <c r="K98" s="12">
        <f>J98*E98</f>
        <v/>
      </c>
      <c r="L98" s="12">
        <f>H98+J98</f>
        <v/>
      </c>
      <c r="M98" s="13" t="n">
        <v>0.65</v>
      </c>
      <c r="N98" s="12">
        <f>L98*(1+M98)</f>
        <v/>
      </c>
      <c r="O98" s="14" t="inlineStr">
        <is>
          <t>Sem custo cadastrado da Marfel para esta gramatura — usado apenas o valor da Alquimia.</t>
        </is>
      </c>
    </row>
    <row r="99">
      <c r="A99" s="8" t="inlineStr">
        <is>
          <t>Alça Camiseta</t>
        </is>
      </c>
      <c r="B99" s="9" t="inlineStr">
        <is>
          <t>60x80</t>
        </is>
      </c>
      <c r="C99" s="9" t="inlineStr">
        <is>
          <t>0,07</t>
        </is>
      </c>
      <c r="D99" s="9" t="inlineStr">
        <is>
          <t>500–599</t>
        </is>
      </c>
      <c r="E99" s="9" t="n">
        <v>500</v>
      </c>
      <c r="F99" s="10" t="n">
        <v>0</v>
      </c>
      <c r="G99" s="10" t="n">
        <v>0.795</v>
      </c>
      <c r="H99" s="10" t="n">
        <v>0.795</v>
      </c>
      <c r="I99" s="11" t="inlineStr">
        <is>
          <t>Alquimia (unico)</t>
        </is>
      </c>
      <c r="J99" s="10" t="n">
        <v>0.3</v>
      </c>
      <c r="K99" s="12">
        <f>J99*E99</f>
        <v/>
      </c>
      <c r="L99" s="12">
        <f>H99+J99</f>
        <v/>
      </c>
      <c r="M99" s="13" t="n">
        <v>0.6</v>
      </c>
      <c r="N99" s="12">
        <f>L99*(1+M99)</f>
        <v/>
      </c>
      <c r="O99" s="14" t="inlineStr">
        <is>
          <t>Sem custo cadastrado da Marfel para esta gramatura — usado apenas o valor da Alquimia.</t>
        </is>
      </c>
    </row>
    <row r="100">
      <c r="A100" s="8" t="inlineStr">
        <is>
          <t>Alça Camiseta</t>
        </is>
      </c>
      <c r="B100" s="9" t="inlineStr">
        <is>
          <t>60x80</t>
        </is>
      </c>
      <c r="C100" s="9" t="inlineStr">
        <is>
          <t>0,07</t>
        </is>
      </c>
      <c r="D100" s="9" t="inlineStr">
        <is>
          <t>600–699</t>
        </is>
      </c>
      <c r="E100" s="9" t="n">
        <v>600</v>
      </c>
      <c r="F100" s="10" t="n">
        <v>0</v>
      </c>
      <c r="G100" s="10" t="n">
        <v>0.795</v>
      </c>
      <c r="H100" s="10" t="n">
        <v>0.795</v>
      </c>
      <c r="I100" s="11" t="inlineStr">
        <is>
          <t>Alquimia (unico)</t>
        </is>
      </c>
      <c r="J100" s="10" t="n">
        <v>0.3</v>
      </c>
      <c r="K100" s="12">
        <f>J100*E100</f>
        <v/>
      </c>
      <c r="L100" s="12">
        <f>H100+J100</f>
        <v/>
      </c>
      <c r="M100" s="13" t="n">
        <v>0.57</v>
      </c>
      <c r="N100" s="12">
        <f>L100*(1+M100)</f>
        <v/>
      </c>
      <c r="O100" s="14" t="inlineStr">
        <is>
          <t>Sem custo cadastrado da Marfel para esta gramatura — usado apenas o valor da Alquimia.</t>
        </is>
      </c>
    </row>
    <row r="101">
      <c r="A101" s="8" t="inlineStr">
        <is>
          <t>Alça Camiseta</t>
        </is>
      </c>
      <c r="B101" s="9" t="inlineStr">
        <is>
          <t>60x80</t>
        </is>
      </c>
      <c r="C101" s="9" t="inlineStr">
        <is>
          <t>0,07</t>
        </is>
      </c>
      <c r="D101" s="9" t="inlineStr">
        <is>
          <t>700–799</t>
        </is>
      </c>
      <c r="E101" s="9" t="n">
        <v>700</v>
      </c>
      <c r="F101" s="10" t="n">
        <v>0</v>
      </c>
      <c r="G101" s="10" t="n">
        <v>0.795</v>
      </c>
      <c r="H101" s="10" t="n">
        <v>0.795</v>
      </c>
      <c r="I101" s="11" t="inlineStr">
        <is>
          <t>Alquimia (unico)</t>
        </is>
      </c>
      <c r="J101" s="10" t="n">
        <v>0.3</v>
      </c>
      <c r="K101" s="12">
        <f>J101*E101</f>
        <v/>
      </c>
      <c r="L101" s="12">
        <f>H101+J101</f>
        <v/>
      </c>
      <c r="M101" s="13" t="n">
        <v>0.54</v>
      </c>
      <c r="N101" s="12">
        <f>L101*(1+M101)</f>
        <v/>
      </c>
      <c r="O101" s="14" t="inlineStr">
        <is>
          <t>Sem custo cadastrado da Marfel para esta gramatura — usado apenas o valor da Alquimia.</t>
        </is>
      </c>
    </row>
    <row r="102">
      <c r="A102" s="8" t="inlineStr">
        <is>
          <t>Alça Camiseta</t>
        </is>
      </c>
      <c r="B102" s="9" t="inlineStr">
        <is>
          <t>60x80</t>
        </is>
      </c>
      <c r="C102" s="9" t="inlineStr">
        <is>
          <t>0,07</t>
        </is>
      </c>
      <c r="D102" s="9" t="inlineStr">
        <is>
          <t>800–899</t>
        </is>
      </c>
      <c r="E102" s="9" t="n">
        <v>800</v>
      </c>
      <c r="F102" s="10" t="n">
        <v>0</v>
      </c>
      <c r="G102" s="10" t="n">
        <v>0.795</v>
      </c>
      <c r="H102" s="10" t="n">
        <v>0.795</v>
      </c>
      <c r="I102" s="11" t="inlineStr">
        <is>
          <t>Alquimia (unico)</t>
        </is>
      </c>
      <c r="J102" s="10" t="n">
        <v>0.3</v>
      </c>
      <c r="K102" s="12">
        <f>J102*E102</f>
        <v/>
      </c>
      <c r="L102" s="12">
        <f>H102+J102</f>
        <v/>
      </c>
      <c r="M102" s="13" t="n">
        <v>0.51</v>
      </c>
      <c r="N102" s="12">
        <f>L102*(1+M102)</f>
        <v/>
      </c>
      <c r="O102" s="14" t="inlineStr">
        <is>
          <t>Sem custo cadastrado da Marfel para esta gramatura — usado apenas o valor da Alquimia.</t>
        </is>
      </c>
    </row>
    <row r="103">
      <c r="A103" s="8" t="inlineStr">
        <is>
          <t>Alça Camiseta</t>
        </is>
      </c>
      <c r="B103" s="9" t="inlineStr">
        <is>
          <t>60x80</t>
        </is>
      </c>
      <c r="C103" s="9" t="inlineStr">
        <is>
          <t>0,07</t>
        </is>
      </c>
      <c r="D103" s="9" t="inlineStr">
        <is>
          <t>900–999</t>
        </is>
      </c>
      <c r="E103" s="9" t="n">
        <v>900</v>
      </c>
      <c r="F103" s="10" t="n">
        <v>0</v>
      </c>
      <c r="G103" s="10" t="n">
        <v>0.795</v>
      </c>
      <c r="H103" s="10" t="n">
        <v>0.795</v>
      </c>
      <c r="I103" s="11" t="inlineStr">
        <is>
          <t>Alquimia (unico)</t>
        </is>
      </c>
      <c r="J103" s="10" t="n">
        <v>0.3</v>
      </c>
      <c r="K103" s="12">
        <f>J103*E103</f>
        <v/>
      </c>
      <c r="L103" s="12">
        <f>H103+J103</f>
        <v/>
      </c>
      <c r="M103" s="13" t="n">
        <v>0.48</v>
      </c>
      <c r="N103" s="12">
        <f>L103*(1+M103)</f>
        <v/>
      </c>
      <c r="O103" s="14" t="inlineStr">
        <is>
          <t>Sem custo cadastrado da Marfel para esta gramatura — usado apenas o valor da Alquimia.</t>
        </is>
      </c>
    </row>
    <row r="104">
      <c r="A104" s="8" t="inlineStr">
        <is>
          <t>Alça Camiseta</t>
        </is>
      </c>
      <c r="B104" s="9" t="inlineStr">
        <is>
          <t>60x80</t>
        </is>
      </c>
      <c r="C104" s="9" t="inlineStr">
        <is>
          <t>0,07</t>
        </is>
      </c>
      <c r="D104" s="9" t="inlineStr">
        <is>
          <t>1000+</t>
        </is>
      </c>
      <c r="E104" s="9" t="n">
        <v>1000</v>
      </c>
      <c r="F104" s="10" t="n">
        <v>0</v>
      </c>
      <c r="G104" s="10" t="n">
        <v>0.795</v>
      </c>
      <c r="H104" s="10" t="n">
        <v>0.795</v>
      </c>
      <c r="I104" s="11" t="inlineStr">
        <is>
          <t>Alquimia (unico)</t>
        </is>
      </c>
      <c r="J104" s="10" t="n">
        <v>0.3</v>
      </c>
      <c r="K104" s="12">
        <f>J104*E104</f>
        <v/>
      </c>
      <c r="L104" s="12">
        <f>H104+J104</f>
        <v/>
      </c>
      <c r="M104" s="13" t="n">
        <v>0.4</v>
      </c>
      <c r="N104" s="12">
        <f>L104*(1+M104)</f>
        <v/>
      </c>
      <c r="O104" s="14" t="inlineStr">
        <is>
          <t>Sem custo cadastrado da Marfel para esta gramatura — usado apenas o valor da Alquimia.</t>
        </is>
      </c>
    </row>
    <row r="105">
      <c r="A105" s="15" t="inlineStr">
        <is>
          <t>Alça Fita</t>
        </is>
      </c>
      <c r="B105" s="16" t="inlineStr">
        <is>
          <t>27x40</t>
        </is>
      </c>
      <c r="C105" s="16" t="inlineStr">
        <is>
          <t>0,15</t>
        </is>
      </c>
      <c r="D105" s="16" t="inlineStr">
        <is>
          <t>100–199</t>
        </is>
      </c>
      <c r="E105" s="16" t="n">
        <v>100</v>
      </c>
      <c r="F105" s="17" t="n">
        <v>0.8208</v>
      </c>
      <c r="G105" s="17" t="n">
        <v>0.5681</v>
      </c>
      <c r="H105" s="17" t="n">
        <v>0.8208</v>
      </c>
      <c r="I105" s="18" t="inlineStr">
        <is>
          <t>Marfel</t>
        </is>
      </c>
      <c r="J105" s="17" t="n">
        <v>0.3</v>
      </c>
      <c r="K105" s="19">
        <f>J105*E105</f>
        <v/>
      </c>
      <c r="L105" s="19">
        <f>H105+J105</f>
        <v/>
      </c>
      <c r="M105" s="20" t="n">
        <v>1</v>
      </c>
      <c r="N105" s="19">
        <f>L105*(1+M105)</f>
        <v/>
      </c>
      <c r="O105" s="21" t="inlineStr"/>
    </row>
    <row r="106">
      <c r="A106" s="15" t="inlineStr">
        <is>
          <t>Alça Fita</t>
        </is>
      </c>
      <c r="B106" s="16" t="inlineStr">
        <is>
          <t>27x40</t>
        </is>
      </c>
      <c r="C106" s="16" t="inlineStr">
        <is>
          <t>0,15</t>
        </is>
      </c>
      <c r="D106" s="16" t="inlineStr">
        <is>
          <t>200–299</t>
        </is>
      </c>
      <c r="E106" s="16" t="n">
        <v>200</v>
      </c>
      <c r="F106" s="17" t="n">
        <v>0.8208</v>
      </c>
      <c r="G106" s="17" t="n">
        <v>0.5681</v>
      </c>
      <c r="H106" s="17" t="n">
        <v>0.8208</v>
      </c>
      <c r="I106" s="18" t="inlineStr">
        <is>
          <t>Marfel</t>
        </is>
      </c>
      <c r="J106" s="17" t="n">
        <v>0.3</v>
      </c>
      <c r="K106" s="19">
        <f>J106*E106</f>
        <v/>
      </c>
      <c r="L106" s="19">
        <f>H106+J106</f>
        <v/>
      </c>
      <c r="M106" s="20" t="n">
        <v>0.75</v>
      </c>
      <c r="N106" s="19">
        <f>L106*(1+M106)</f>
        <v/>
      </c>
      <c r="O106" s="21" t="inlineStr"/>
    </row>
    <row r="107">
      <c r="A107" s="15" t="inlineStr">
        <is>
          <t>Alça Fita</t>
        </is>
      </c>
      <c r="B107" s="16" t="inlineStr">
        <is>
          <t>27x40</t>
        </is>
      </c>
      <c r="C107" s="16" t="inlineStr">
        <is>
          <t>0,15</t>
        </is>
      </c>
      <c r="D107" s="16" t="inlineStr">
        <is>
          <t>300–399</t>
        </is>
      </c>
      <c r="E107" s="16" t="n">
        <v>300</v>
      </c>
      <c r="F107" s="17" t="n">
        <v>0.8208</v>
      </c>
      <c r="G107" s="17" t="n">
        <v>0.5681</v>
      </c>
      <c r="H107" s="17" t="n">
        <v>0.8208</v>
      </c>
      <c r="I107" s="18" t="inlineStr">
        <is>
          <t>Marfel</t>
        </is>
      </c>
      <c r="J107" s="17" t="n">
        <v>0.3</v>
      </c>
      <c r="K107" s="19">
        <f>J107*E107</f>
        <v/>
      </c>
      <c r="L107" s="19">
        <f>H107+J107</f>
        <v/>
      </c>
      <c r="M107" s="20" t="n">
        <v>0.7</v>
      </c>
      <c r="N107" s="19">
        <f>L107*(1+M107)</f>
        <v/>
      </c>
      <c r="O107" s="21" t="inlineStr"/>
    </row>
    <row r="108">
      <c r="A108" s="15" t="inlineStr">
        <is>
          <t>Alça Fita</t>
        </is>
      </c>
      <c r="B108" s="16" t="inlineStr">
        <is>
          <t>27x40</t>
        </is>
      </c>
      <c r="C108" s="16" t="inlineStr">
        <is>
          <t>0,15</t>
        </is>
      </c>
      <c r="D108" s="16" t="inlineStr">
        <is>
          <t>400–499</t>
        </is>
      </c>
      <c r="E108" s="16" t="n">
        <v>400</v>
      </c>
      <c r="F108" s="17" t="n">
        <v>0.8208</v>
      </c>
      <c r="G108" s="17" t="n">
        <v>0.5681</v>
      </c>
      <c r="H108" s="17" t="n">
        <v>0.8208</v>
      </c>
      <c r="I108" s="18" t="inlineStr">
        <is>
          <t>Marfel</t>
        </is>
      </c>
      <c r="J108" s="17" t="n">
        <v>0.3</v>
      </c>
      <c r="K108" s="19">
        <f>J108*E108</f>
        <v/>
      </c>
      <c r="L108" s="19">
        <f>H108+J108</f>
        <v/>
      </c>
      <c r="M108" s="20" t="n">
        <v>0.65</v>
      </c>
      <c r="N108" s="19">
        <f>L108*(1+M108)</f>
        <v/>
      </c>
      <c r="O108" s="21" t="inlineStr"/>
    </row>
    <row r="109">
      <c r="A109" s="15" t="inlineStr">
        <is>
          <t>Alça Fita</t>
        </is>
      </c>
      <c r="B109" s="16" t="inlineStr">
        <is>
          <t>27x40</t>
        </is>
      </c>
      <c r="C109" s="16" t="inlineStr">
        <is>
          <t>0,15</t>
        </is>
      </c>
      <c r="D109" s="16" t="inlineStr">
        <is>
          <t>500–599</t>
        </is>
      </c>
      <c r="E109" s="16" t="n">
        <v>500</v>
      </c>
      <c r="F109" s="17" t="n">
        <v>0.8208</v>
      </c>
      <c r="G109" s="17" t="n">
        <v>0.5681</v>
      </c>
      <c r="H109" s="17" t="n">
        <v>0.8208</v>
      </c>
      <c r="I109" s="18" t="inlineStr">
        <is>
          <t>Marfel</t>
        </is>
      </c>
      <c r="J109" s="17" t="n">
        <v>0.3</v>
      </c>
      <c r="K109" s="19">
        <f>J109*E109</f>
        <v/>
      </c>
      <c r="L109" s="19">
        <f>H109+J109</f>
        <v/>
      </c>
      <c r="M109" s="20" t="n">
        <v>0.6</v>
      </c>
      <c r="N109" s="19">
        <f>L109*(1+M109)</f>
        <v/>
      </c>
      <c r="O109" s="21" t="inlineStr"/>
    </row>
    <row r="110">
      <c r="A110" s="15" t="inlineStr">
        <is>
          <t>Alça Fita</t>
        </is>
      </c>
      <c r="B110" s="16" t="inlineStr">
        <is>
          <t>27x40</t>
        </is>
      </c>
      <c r="C110" s="16" t="inlineStr">
        <is>
          <t>0,15</t>
        </is>
      </c>
      <c r="D110" s="16" t="inlineStr">
        <is>
          <t>600–699</t>
        </is>
      </c>
      <c r="E110" s="16" t="n">
        <v>600</v>
      </c>
      <c r="F110" s="17" t="n">
        <v>0.8208</v>
      </c>
      <c r="G110" s="17" t="n">
        <v>0.5681</v>
      </c>
      <c r="H110" s="17" t="n">
        <v>0.8208</v>
      </c>
      <c r="I110" s="18" t="inlineStr">
        <is>
          <t>Marfel</t>
        </is>
      </c>
      <c r="J110" s="17" t="n">
        <v>0.3</v>
      </c>
      <c r="K110" s="19">
        <f>J110*E110</f>
        <v/>
      </c>
      <c r="L110" s="19">
        <f>H110+J110</f>
        <v/>
      </c>
      <c r="M110" s="20" t="n">
        <v>0.57</v>
      </c>
      <c r="N110" s="19">
        <f>L110*(1+M110)</f>
        <v/>
      </c>
      <c r="O110" s="21" t="inlineStr"/>
    </row>
    <row r="111">
      <c r="A111" s="15" t="inlineStr">
        <is>
          <t>Alça Fita</t>
        </is>
      </c>
      <c r="B111" s="16" t="inlineStr">
        <is>
          <t>27x40</t>
        </is>
      </c>
      <c r="C111" s="16" t="inlineStr">
        <is>
          <t>0,15</t>
        </is>
      </c>
      <c r="D111" s="16" t="inlineStr">
        <is>
          <t>700–799</t>
        </is>
      </c>
      <c r="E111" s="16" t="n">
        <v>700</v>
      </c>
      <c r="F111" s="17" t="n">
        <v>0.8208</v>
      </c>
      <c r="G111" s="17" t="n">
        <v>0.5681</v>
      </c>
      <c r="H111" s="17" t="n">
        <v>0.8208</v>
      </c>
      <c r="I111" s="18" t="inlineStr">
        <is>
          <t>Marfel</t>
        </is>
      </c>
      <c r="J111" s="17" t="n">
        <v>0.3</v>
      </c>
      <c r="K111" s="19">
        <f>J111*E111</f>
        <v/>
      </c>
      <c r="L111" s="19">
        <f>H111+J111</f>
        <v/>
      </c>
      <c r="M111" s="20" t="n">
        <v>0.54</v>
      </c>
      <c r="N111" s="19">
        <f>L111*(1+M111)</f>
        <v/>
      </c>
      <c r="O111" s="21" t="inlineStr"/>
    </row>
    <row r="112">
      <c r="A112" s="15" t="inlineStr">
        <is>
          <t>Alça Fita</t>
        </is>
      </c>
      <c r="B112" s="16" t="inlineStr">
        <is>
          <t>27x40</t>
        </is>
      </c>
      <c r="C112" s="16" t="inlineStr">
        <is>
          <t>0,15</t>
        </is>
      </c>
      <c r="D112" s="16" t="inlineStr">
        <is>
          <t>800–899</t>
        </is>
      </c>
      <c r="E112" s="16" t="n">
        <v>800</v>
      </c>
      <c r="F112" s="17" t="n">
        <v>0.8208</v>
      </c>
      <c r="G112" s="17" t="n">
        <v>0.5681</v>
      </c>
      <c r="H112" s="17" t="n">
        <v>0.8208</v>
      </c>
      <c r="I112" s="18" t="inlineStr">
        <is>
          <t>Marfel</t>
        </is>
      </c>
      <c r="J112" s="17" t="n">
        <v>0.3</v>
      </c>
      <c r="K112" s="19">
        <f>J112*E112</f>
        <v/>
      </c>
      <c r="L112" s="19">
        <f>H112+J112</f>
        <v/>
      </c>
      <c r="M112" s="20" t="n">
        <v>0.51</v>
      </c>
      <c r="N112" s="19">
        <f>L112*(1+M112)</f>
        <v/>
      </c>
      <c r="O112" s="21" t="inlineStr"/>
    </row>
    <row r="113">
      <c r="A113" s="15" t="inlineStr">
        <is>
          <t>Alça Fita</t>
        </is>
      </c>
      <c r="B113" s="16" t="inlineStr">
        <is>
          <t>27x40</t>
        </is>
      </c>
      <c r="C113" s="16" t="inlineStr">
        <is>
          <t>0,15</t>
        </is>
      </c>
      <c r="D113" s="16" t="inlineStr">
        <is>
          <t>900–999</t>
        </is>
      </c>
      <c r="E113" s="16" t="n">
        <v>900</v>
      </c>
      <c r="F113" s="17" t="n">
        <v>0.8208</v>
      </c>
      <c r="G113" s="17" t="n">
        <v>0.5681</v>
      </c>
      <c r="H113" s="17" t="n">
        <v>0.8208</v>
      </c>
      <c r="I113" s="18" t="inlineStr">
        <is>
          <t>Marfel</t>
        </is>
      </c>
      <c r="J113" s="17" t="n">
        <v>0.3</v>
      </c>
      <c r="K113" s="19">
        <f>J113*E113</f>
        <v/>
      </c>
      <c r="L113" s="19">
        <f>H113+J113</f>
        <v/>
      </c>
      <c r="M113" s="20" t="n">
        <v>0.48</v>
      </c>
      <c r="N113" s="19">
        <f>L113*(1+M113)</f>
        <v/>
      </c>
      <c r="O113" s="21" t="inlineStr"/>
    </row>
    <row r="114">
      <c r="A114" s="15" t="inlineStr">
        <is>
          <t>Alça Fita</t>
        </is>
      </c>
      <c r="B114" s="16" t="inlineStr">
        <is>
          <t>27x40</t>
        </is>
      </c>
      <c r="C114" s="16" t="inlineStr">
        <is>
          <t>0,15</t>
        </is>
      </c>
      <c r="D114" s="16" t="inlineStr">
        <is>
          <t>1000+</t>
        </is>
      </c>
      <c r="E114" s="16" t="n">
        <v>1000</v>
      </c>
      <c r="F114" s="17" t="n">
        <v>0.8208</v>
      </c>
      <c r="G114" s="17" t="n">
        <v>0.5681</v>
      </c>
      <c r="H114" s="17" t="n">
        <v>0.8208</v>
      </c>
      <c r="I114" s="18" t="inlineStr">
        <is>
          <t>Marfel</t>
        </is>
      </c>
      <c r="J114" s="17" t="n">
        <v>0.3</v>
      </c>
      <c r="K114" s="19">
        <f>J114*E114</f>
        <v/>
      </c>
      <c r="L114" s="19">
        <f>H114+J114</f>
        <v/>
      </c>
      <c r="M114" s="20" t="n">
        <v>0.4</v>
      </c>
      <c r="N114" s="19">
        <f>L114*(1+M114)</f>
        <v/>
      </c>
      <c r="O114" s="21" t="inlineStr"/>
    </row>
    <row r="115">
      <c r="A115" s="8" t="inlineStr">
        <is>
          <t>Alça Fita</t>
        </is>
      </c>
      <c r="B115" s="9" t="inlineStr">
        <is>
          <t>30x45</t>
        </is>
      </c>
      <c r="C115" s="9" t="inlineStr">
        <is>
          <t>0,13</t>
        </is>
      </c>
      <c r="D115" s="9" t="inlineStr">
        <is>
          <t>100–199</t>
        </is>
      </c>
      <c r="E115" s="9" t="n">
        <v>100</v>
      </c>
      <c r="F115" s="10" t="n">
        <v>0.774</v>
      </c>
      <c r="G115" s="10" t="n">
        <v>0</v>
      </c>
      <c r="H115" s="10" t="n">
        <v>0.774</v>
      </c>
      <c r="I115" s="11" t="inlineStr">
        <is>
          <t>Marfel (unico)</t>
        </is>
      </c>
      <c r="J115" s="10" t="n">
        <v>0.3</v>
      </c>
      <c r="K115" s="12">
        <f>J115*E115</f>
        <v/>
      </c>
      <c r="L115" s="12">
        <f>H115+J115</f>
        <v/>
      </c>
      <c r="M115" s="13" t="n">
        <v>1</v>
      </c>
      <c r="N115" s="12">
        <f>L115*(1+M115)</f>
        <v/>
      </c>
      <c r="O115" s="14" t="inlineStr">
        <is>
          <t>Sem custo cadastrado da Alquimia para esta gramatura — usado apenas o valor da Marfel.</t>
        </is>
      </c>
    </row>
    <row r="116">
      <c r="A116" s="8" t="inlineStr">
        <is>
          <t>Alça Fita</t>
        </is>
      </c>
      <c r="B116" s="9" t="inlineStr">
        <is>
          <t>30x45</t>
        </is>
      </c>
      <c r="C116" s="9" t="inlineStr">
        <is>
          <t>0,13</t>
        </is>
      </c>
      <c r="D116" s="9" t="inlineStr">
        <is>
          <t>200–299</t>
        </is>
      </c>
      <c r="E116" s="9" t="n">
        <v>200</v>
      </c>
      <c r="F116" s="10" t="n">
        <v>0.774</v>
      </c>
      <c r="G116" s="10" t="n">
        <v>0</v>
      </c>
      <c r="H116" s="10" t="n">
        <v>0.774</v>
      </c>
      <c r="I116" s="11" t="inlineStr">
        <is>
          <t>Marfel (unico)</t>
        </is>
      </c>
      <c r="J116" s="10" t="n">
        <v>0.3</v>
      </c>
      <c r="K116" s="12">
        <f>J116*E116</f>
        <v/>
      </c>
      <c r="L116" s="12">
        <f>H116+J116</f>
        <v/>
      </c>
      <c r="M116" s="13" t="n">
        <v>0.75</v>
      </c>
      <c r="N116" s="12">
        <f>L116*(1+M116)</f>
        <v/>
      </c>
      <c r="O116" s="14" t="inlineStr">
        <is>
          <t>Sem custo cadastrado da Alquimia para esta gramatura — usado apenas o valor da Marfel.</t>
        </is>
      </c>
    </row>
    <row r="117">
      <c r="A117" s="8" t="inlineStr">
        <is>
          <t>Alça Fita</t>
        </is>
      </c>
      <c r="B117" s="9" t="inlineStr">
        <is>
          <t>30x45</t>
        </is>
      </c>
      <c r="C117" s="9" t="inlineStr">
        <is>
          <t>0,13</t>
        </is>
      </c>
      <c r="D117" s="9" t="inlineStr">
        <is>
          <t>300–399</t>
        </is>
      </c>
      <c r="E117" s="9" t="n">
        <v>300</v>
      </c>
      <c r="F117" s="10" t="n">
        <v>0.774</v>
      </c>
      <c r="G117" s="10" t="n">
        <v>0</v>
      </c>
      <c r="H117" s="10" t="n">
        <v>0.774</v>
      </c>
      <c r="I117" s="11" t="inlineStr">
        <is>
          <t>Marfel (unico)</t>
        </is>
      </c>
      <c r="J117" s="10" t="n">
        <v>0.3</v>
      </c>
      <c r="K117" s="12">
        <f>J117*E117</f>
        <v/>
      </c>
      <c r="L117" s="12">
        <f>H117+J117</f>
        <v/>
      </c>
      <c r="M117" s="13" t="n">
        <v>0.7</v>
      </c>
      <c r="N117" s="12">
        <f>L117*(1+M117)</f>
        <v/>
      </c>
      <c r="O117" s="14" t="inlineStr">
        <is>
          <t>Sem custo cadastrado da Alquimia para esta gramatura — usado apenas o valor da Marfel.</t>
        </is>
      </c>
    </row>
    <row r="118">
      <c r="A118" s="8" t="inlineStr">
        <is>
          <t>Alça Fita</t>
        </is>
      </c>
      <c r="B118" s="9" t="inlineStr">
        <is>
          <t>30x45</t>
        </is>
      </c>
      <c r="C118" s="9" t="inlineStr">
        <is>
          <t>0,13</t>
        </is>
      </c>
      <c r="D118" s="9" t="inlineStr">
        <is>
          <t>400–499</t>
        </is>
      </c>
      <c r="E118" s="9" t="n">
        <v>400</v>
      </c>
      <c r="F118" s="10" t="n">
        <v>0.774</v>
      </c>
      <c r="G118" s="10" t="n">
        <v>0</v>
      </c>
      <c r="H118" s="10" t="n">
        <v>0.774</v>
      </c>
      <c r="I118" s="11" t="inlineStr">
        <is>
          <t>Marfel (unico)</t>
        </is>
      </c>
      <c r="J118" s="10" t="n">
        <v>0.3</v>
      </c>
      <c r="K118" s="12">
        <f>J118*E118</f>
        <v/>
      </c>
      <c r="L118" s="12">
        <f>H118+J118</f>
        <v/>
      </c>
      <c r="M118" s="13" t="n">
        <v>0.65</v>
      </c>
      <c r="N118" s="12">
        <f>L118*(1+M118)</f>
        <v/>
      </c>
      <c r="O118" s="14" t="inlineStr">
        <is>
          <t>Sem custo cadastrado da Alquimia para esta gramatura — usado apenas o valor da Marfel.</t>
        </is>
      </c>
    </row>
    <row r="119">
      <c r="A119" s="8" t="inlineStr">
        <is>
          <t>Alça Fita</t>
        </is>
      </c>
      <c r="B119" s="9" t="inlineStr">
        <is>
          <t>30x45</t>
        </is>
      </c>
      <c r="C119" s="9" t="inlineStr">
        <is>
          <t>0,13</t>
        </is>
      </c>
      <c r="D119" s="9" t="inlineStr">
        <is>
          <t>500–599</t>
        </is>
      </c>
      <c r="E119" s="9" t="n">
        <v>500</v>
      </c>
      <c r="F119" s="10" t="n">
        <v>0.774</v>
      </c>
      <c r="G119" s="10" t="n">
        <v>0</v>
      </c>
      <c r="H119" s="10" t="n">
        <v>0.774</v>
      </c>
      <c r="I119" s="11" t="inlineStr">
        <is>
          <t>Marfel (unico)</t>
        </is>
      </c>
      <c r="J119" s="10" t="n">
        <v>0.3</v>
      </c>
      <c r="K119" s="12">
        <f>J119*E119</f>
        <v/>
      </c>
      <c r="L119" s="12">
        <f>H119+J119</f>
        <v/>
      </c>
      <c r="M119" s="13" t="n">
        <v>0.6</v>
      </c>
      <c r="N119" s="12">
        <f>L119*(1+M119)</f>
        <v/>
      </c>
      <c r="O119" s="14" t="inlineStr">
        <is>
          <t>Sem custo cadastrado da Alquimia para esta gramatura — usado apenas o valor da Marfel.</t>
        </is>
      </c>
    </row>
    <row r="120">
      <c r="A120" s="8" t="inlineStr">
        <is>
          <t>Alça Fita</t>
        </is>
      </c>
      <c r="B120" s="9" t="inlineStr">
        <is>
          <t>30x45</t>
        </is>
      </c>
      <c r="C120" s="9" t="inlineStr">
        <is>
          <t>0,13</t>
        </is>
      </c>
      <c r="D120" s="9" t="inlineStr">
        <is>
          <t>600–699</t>
        </is>
      </c>
      <c r="E120" s="9" t="n">
        <v>600</v>
      </c>
      <c r="F120" s="10" t="n">
        <v>0.774</v>
      </c>
      <c r="G120" s="10" t="n">
        <v>0</v>
      </c>
      <c r="H120" s="10" t="n">
        <v>0.774</v>
      </c>
      <c r="I120" s="11" t="inlineStr">
        <is>
          <t>Marfel (unico)</t>
        </is>
      </c>
      <c r="J120" s="10" t="n">
        <v>0.3</v>
      </c>
      <c r="K120" s="12">
        <f>J120*E120</f>
        <v/>
      </c>
      <c r="L120" s="12">
        <f>H120+J120</f>
        <v/>
      </c>
      <c r="M120" s="13" t="n">
        <v>0.57</v>
      </c>
      <c r="N120" s="12">
        <f>L120*(1+M120)</f>
        <v/>
      </c>
      <c r="O120" s="14" t="inlineStr">
        <is>
          <t>Sem custo cadastrado da Alquimia para esta gramatura — usado apenas o valor da Marfel.</t>
        </is>
      </c>
    </row>
    <row r="121">
      <c r="A121" s="8" t="inlineStr">
        <is>
          <t>Alça Fita</t>
        </is>
      </c>
      <c r="B121" s="9" t="inlineStr">
        <is>
          <t>30x45</t>
        </is>
      </c>
      <c r="C121" s="9" t="inlineStr">
        <is>
          <t>0,13</t>
        </is>
      </c>
      <c r="D121" s="9" t="inlineStr">
        <is>
          <t>700–799</t>
        </is>
      </c>
      <c r="E121" s="9" t="n">
        <v>700</v>
      </c>
      <c r="F121" s="10" t="n">
        <v>0.774</v>
      </c>
      <c r="G121" s="10" t="n">
        <v>0</v>
      </c>
      <c r="H121" s="10" t="n">
        <v>0.774</v>
      </c>
      <c r="I121" s="11" t="inlineStr">
        <is>
          <t>Marfel (unico)</t>
        </is>
      </c>
      <c r="J121" s="10" t="n">
        <v>0.3</v>
      </c>
      <c r="K121" s="12">
        <f>J121*E121</f>
        <v/>
      </c>
      <c r="L121" s="12">
        <f>H121+J121</f>
        <v/>
      </c>
      <c r="M121" s="13" t="n">
        <v>0.54</v>
      </c>
      <c r="N121" s="12">
        <f>L121*(1+M121)</f>
        <v/>
      </c>
      <c r="O121" s="14" t="inlineStr">
        <is>
          <t>Sem custo cadastrado da Alquimia para esta gramatura — usado apenas o valor da Marfel.</t>
        </is>
      </c>
    </row>
    <row r="122">
      <c r="A122" s="8" t="inlineStr">
        <is>
          <t>Alça Fita</t>
        </is>
      </c>
      <c r="B122" s="9" t="inlineStr">
        <is>
          <t>30x45</t>
        </is>
      </c>
      <c r="C122" s="9" t="inlineStr">
        <is>
          <t>0,13</t>
        </is>
      </c>
      <c r="D122" s="9" t="inlineStr">
        <is>
          <t>800–899</t>
        </is>
      </c>
      <c r="E122" s="9" t="n">
        <v>800</v>
      </c>
      <c r="F122" s="10" t="n">
        <v>0.774</v>
      </c>
      <c r="G122" s="10" t="n">
        <v>0</v>
      </c>
      <c r="H122" s="10" t="n">
        <v>0.774</v>
      </c>
      <c r="I122" s="11" t="inlineStr">
        <is>
          <t>Marfel (unico)</t>
        </is>
      </c>
      <c r="J122" s="10" t="n">
        <v>0.3</v>
      </c>
      <c r="K122" s="12">
        <f>J122*E122</f>
        <v/>
      </c>
      <c r="L122" s="12">
        <f>H122+J122</f>
        <v/>
      </c>
      <c r="M122" s="13" t="n">
        <v>0.51</v>
      </c>
      <c r="N122" s="12">
        <f>L122*(1+M122)</f>
        <v/>
      </c>
      <c r="O122" s="14" t="inlineStr">
        <is>
          <t>Sem custo cadastrado da Alquimia para esta gramatura — usado apenas o valor da Marfel.</t>
        </is>
      </c>
    </row>
    <row r="123">
      <c r="A123" s="8" t="inlineStr">
        <is>
          <t>Alça Fita</t>
        </is>
      </c>
      <c r="B123" s="9" t="inlineStr">
        <is>
          <t>30x45</t>
        </is>
      </c>
      <c r="C123" s="9" t="inlineStr">
        <is>
          <t>0,13</t>
        </is>
      </c>
      <c r="D123" s="9" t="inlineStr">
        <is>
          <t>900–999</t>
        </is>
      </c>
      <c r="E123" s="9" t="n">
        <v>900</v>
      </c>
      <c r="F123" s="10" t="n">
        <v>0.774</v>
      </c>
      <c r="G123" s="10" t="n">
        <v>0</v>
      </c>
      <c r="H123" s="10" t="n">
        <v>0.774</v>
      </c>
      <c r="I123" s="11" t="inlineStr">
        <is>
          <t>Marfel (unico)</t>
        </is>
      </c>
      <c r="J123" s="10" t="n">
        <v>0.3</v>
      </c>
      <c r="K123" s="12">
        <f>J123*E123</f>
        <v/>
      </c>
      <c r="L123" s="12">
        <f>H123+J123</f>
        <v/>
      </c>
      <c r="M123" s="13" t="n">
        <v>0.48</v>
      </c>
      <c r="N123" s="12">
        <f>L123*(1+M123)</f>
        <v/>
      </c>
      <c r="O123" s="14" t="inlineStr">
        <is>
          <t>Sem custo cadastrado da Alquimia para esta gramatura — usado apenas o valor da Marfel.</t>
        </is>
      </c>
    </row>
    <row r="124">
      <c r="A124" s="8" t="inlineStr">
        <is>
          <t>Alça Fita</t>
        </is>
      </c>
      <c r="B124" s="9" t="inlineStr">
        <is>
          <t>30x45</t>
        </is>
      </c>
      <c r="C124" s="9" t="inlineStr">
        <is>
          <t>0,13</t>
        </is>
      </c>
      <c r="D124" s="9" t="inlineStr">
        <is>
          <t>1000+</t>
        </is>
      </c>
      <c r="E124" s="9" t="n">
        <v>1000</v>
      </c>
      <c r="F124" s="10" t="n">
        <v>0.774</v>
      </c>
      <c r="G124" s="10" t="n">
        <v>0</v>
      </c>
      <c r="H124" s="10" t="n">
        <v>0.774</v>
      </c>
      <c r="I124" s="11" t="inlineStr">
        <is>
          <t>Marfel (unico)</t>
        </is>
      </c>
      <c r="J124" s="10" t="n">
        <v>0.3</v>
      </c>
      <c r="K124" s="12">
        <f>J124*E124</f>
        <v/>
      </c>
      <c r="L124" s="12">
        <f>H124+J124</f>
        <v/>
      </c>
      <c r="M124" s="13" t="n">
        <v>0.4</v>
      </c>
      <c r="N124" s="12">
        <f>L124*(1+M124)</f>
        <v/>
      </c>
      <c r="O124" s="14" t="inlineStr">
        <is>
          <t>Sem custo cadastrado da Alquimia para esta gramatura — usado apenas o valor da Marfel.</t>
        </is>
      </c>
    </row>
    <row r="125">
      <c r="A125" s="15" t="inlineStr">
        <is>
          <t>Alça Fita</t>
        </is>
      </c>
      <c r="B125" s="16" t="inlineStr">
        <is>
          <t>30x45</t>
        </is>
      </c>
      <c r="C125" s="16" t="inlineStr">
        <is>
          <t>0,15</t>
        </is>
      </c>
      <c r="D125" s="16" t="inlineStr">
        <is>
          <t>100–199</t>
        </is>
      </c>
      <c r="E125" s="16" t="n">
        <v>100</v>
      </c>
      <c r="F125" s="17" t="n">
        <v>1.04544</v>
      </c>
      <c r="G125" s="17" t="n">
        <v>0.6877</v>
      </c>
      <c r="H125" s="17" t="n">
        <v>1.04544</v>
      </c>
      <c r="I125" s="18" t="inlineStr">
        <is>
          <t>Marfel</t>
        </is>
      </c>
      <c r="J125" s="17" t="n">
        <v>0.3</v>
      </c>
      <c r="K125" s="19">
        <f>J125*E125</f>
        <v/>
      </c>
      <c r="L125" s="19">
        <f>H125+J125</f>
        <v/>
      </c>
      <c r="M125" s="20" t="n">
        <v>1</v>
      </c>
      <c r="N125" s="19">
        <f>L125*(1+M125)</f>
        <v/>
      </c>
      <c r="O125" s="21" t="inlineStr"/>
    </row>
    <row r="126">
      <c r="A126" s="15" t="inlineStr">
        <is>
          <t>Alça Fita</t>
        </is>
      </c>
      <c r="B126" s="16" t="inlineStr">
        <is>
          <t>30x45</t>
        </is>
      </c>
      <c r="C126" s="16" t="inlineStr">
        <is>
          <t>0,15</t>
        </is>
      </c>
      <c r="D126" s="16" t="inlineStr">
        <is>
          <t>200–299</t>
        </is>
      </c>
      <c r="E126" s="16" t="n">
        <v>200</v>
      </c>
      <c r="F126" s="17" t="n">
        <v>1.04544</v>
      </c>
      <c r="G126" s="17" t="n">
        <v>0.6877</v>
      </c>
      <c r="H126" s="17" t="n">
        <v>1.04544</v>
      </c>
      <c r="I126" s="18" t="inlineStr">
        <is>
          <t>Marfel</t>
        </is>
      </c>
      <c r="J126" s="17" t="n">
        <v>0.3</v>
      </c>
      <c r="K126" s="19">
        <f>J126*E126</f>
        <v/>
      </c>
      <c r="L126" s="19">
        <f>H126+J126</f>
        <v/>
      </c>
      <c r="M126" s="20" t="n">
        <v>0.75</v>
      </c>
      <c r="N126" s="19">
        <f>L126*(1+M126)</f>
        <v/>
      </c>
      <c r="O126" s="21" t="inlineStr"/>
    </row>
    <row r="127">
      <c r="A127" s="15" t="inlineStr">
        <is>
          <t>Alça Fita</t>
        </is>
      </c>
      <c r="B127" s="16" t="inlineStr">
        <is>
          <t>30x45</t>
        </is>
      </c>
      <c r="C127" s="16" t="inlineStr">
        <is>
          <t>0,15</t>
        </is>
      </c>
      <c r="D127" s="16" t="inlineStr">
        <is>
          <t>300–399</t>
        </is>
      </c>
      <c r="E127" s="16" t="n">
        <v>300</v>
      </c>
      <c r="F127" s="17" t="n">
        <v>1.04544</v>
      </c>
      <c r="G127" s="17" t="n">
        <v>0.6877</v>
      </c>
      <c r="H127" s="17" t="n">
        <v>1.04544</v>
      </c>
      <c r="I127" s="18" t="inlineStr">
        <is>
          <t>Marfel</t>
        </is>
      </c>
      <c r="J127" s="17" t="n">
        <v>0.3</v>
      </c>
      <c r="K127" s="19">
        <f>J127*E127</f>
        <v/>
      </c>
      <c r="L127" s="19">
        <f>H127+J127</f>
        <v/>
      </c>
      <c r="M127" s="20" t="n">
        <v>0.7</v>
      </c>
      <c r="N127" s="19">
        <f>L127*(1+M127)</f>
        <v/>
      </c>
      <c r="O127" s="21" t="inlineStr"/>
    </row>
    <row r="128">
      <c r="A128" s="15" t="inlineStr">
        <is>
          <t>Alça Fita</t>
        </is>
      </c>
      <c r="B128" s="16" t="inlineStr">
        <is>
          <t>30x45</t>
        </is>
      </c>
      <c r="C128" s="16" t="inlineStr">
        <is>
          <t>0,15</t>
        </is>
      </c>
      <c r="D128" s="16" t="inlineStr">
        <is>
          <t>400–499</t>
        </is>
      </c>
      <c r="E128" s="16" t="n">
        <v>400</v>
      </c>
      <c r="F128" s="17" t="n">
        <v>1.04544</v>
      </c>
      <c r="G128" s="17" t="n">
        <v>0.6877</v>
      </c>
      <c r="H128" s="17" t="n">
        <v>1.04544</v>
      </c>
      <c r="I128" s="18" t="inlineStr">
        <is>
          <t>Marfel</t>
        </is>
      </c>
      <c r="J128" s="17" t="n">
        <v>0.3</v>
      </c>
      <c r="K128" s="19">
        <f>J128*E128</f>
        <v/>
      </c>
      <c r="L128" s="19">
        <f>H128+J128</f>
        <v/>
      </c>
      <c r="M128" s="20" t="n">
        <v>0.65</v>
      </c>
      <c r="N128" s="19">
        <f>L128*(1+M128)</f>
        <v/>
      </c>
      <c r="O128" s="21" t="inlineStr"/>
    </row>
    <row r="129">
      <c r="A129" s="15" t="inlineStr">
        <is>
          <t>Alça Fita</t>
        </is>
      </c>
      <c r="B129" s="16" t="inlineStr">
        <is>
          <t>30x45</t>
        </is>
      </c>
      <c r="C129" s="16" t="inlineStr">
        <is>
          <t>0,15</t>
        </is>
      </c>
      <c r="D129" s="16" t="inlineStr">
        <is>
          <t>500–599</t>
        </is>
      </c>
      <c r="E129" s="16" t="n">
        <v>500</v>
      </c>
      <c r="F129" s="17" t="n">
        <v>1.04544</v>
      </c>
      <c r="G129" s="17" t="n">
        <v>0.6877</v>
      </c>
      <c r="H129" s="17" t="n">
        <v>1.04544</v>
      </c>
      <c r="I129" s="18" t="inlineStr">
        <is>
          <t>Marfel</t>
        </is>
      </c>
      <c r="J129" s="17" t="n">
        <v>0.3</v>
      </c>
      <c r="K129" s="19">
        <f>J129*E129</f>
        <v/>
      </c>
      <c r="L129" s="19">
        <f>H129+J129</f>
        <v/>
      </c>
      <c r="M129" s="20" t="n">
        <v>0.6</v>
      </c>
      <c r="N129" s="19">
        <f>L129*(1+M129)</f>
        <v/>
      </c>
      <c r="O129" s="21" t="inlineStr"/>
    </row>
    <row r="130">
      <c r="A130" s="15" t="inlineStr">
        <is>
          <t>Alça Fita</t>
        </is>
      </c>
      <c r="B130" s="16" t="inlineStr">
        <is>
          <t>30x45</t>
        </is>
      </c>
      <c r="C130" s="16" t="inlineStr">
        <is>
          <t>0,15</t>
        </is>
      </c>
      <c r="D130" s="16" t="inlineStr">
        <is>
          <t>600–699</t>
        </is>
      </c>
      <c r="E130" s="16" t="n">
        <v>600</v>
      </c>
      <c r="F130" s="17" t="n">
        <v>1.04544</v>
      </c>
      <c r="G130" s="17" t="n">
        <v>0.6877</v>
      </c>
      <c r="H130" s="17" t="n">
        <v>1.04544</v>
      </c>
      <c r="I130" s="18" t="inlineStr">
        <is>
          <t>Marfel</t>
        </is>
      </c>
      <c r="J130" s="17" t="n">
        <v>0.3</v>
      </c>
      <c r="K130" s="19">
        <f>J130*E130</f>
        <v/>
      </c>
      <c r="L130" s="19">
        <f>H130+J130</f>
        <v/>
      </c>
      <c r="M130" s="20" t="n">
        <v>0.57</v>
      </c>
      <c r="N130" s="19">
        <f>L130*(1+M130)</f>
        <v/>
      </c>
      <c r="O130" s="21" t="inlineStr"/>
    </row>
    <row r="131">
      <c r="A131" s="15" t="inlineStr">
        <is>
          <t>Alça Fita</t>
        </is>
      </c>
      <c r="B131" s="16" t="inlineStr">
        <is>
          <t>30x45</t>
        </is>
      </c>
      <c r="C131" s="16" t="inlineStr">
        <is>
          <t>0,15</t>
        </is>
      </c>
      <c r="D131" s="16" t="inlineStr">
        <is>
          <t>700–799</t>
        </is>
      </c>
      <c r="E131" s="16" t="n">
        <v>700</v>
      </c>
      <c r="F131" s="17" t="n">
        <v>1.04544</v>
      </c>
      <c r="G131" s="17" t="n">
        <v>0.6877</v>
      </c>
      <c r="H131" s="17" t="n">
        <v>1.04544</v>
      </c>
      <c r="I131" s="18" t="inlineStr">
        <is>
          <t>Marfel</t>
        </is>
      </c>
      <c r="J131" s="17" t="n">
        <v>0.3</v>
      </c>
      <c r="K131" s="19">
        <f>J131*E131</f>
        <v/>
      </c>
      <c r="L131" s="19">
        <f>H131+J131</f>
        <v/>
      </c>
      <c r="M131" s="20" t="n">
        <v>0.54</v>
      </c>
      <c r="N131" s="19">
        <f>L131*(1+M131)</f>
        <v/>
      </c>
      <c r="O131" s="21" t="inlineStr"/>
    </row>
    <row r="132">
      <c r="A132" s="15" t="inlineStr">
        <is>
          <t>Alça Fita</t>
        </is>
      </c>
      <c r="B132" s="16" t="inlineStr">
        <is>
          <t>30x45</t>
        </is>
      </c>
      <c r="C132" s="16" t="inlineStr">
        <is>
          <t>0,15</t>
        </is>
      </c>
      <c r="D132" s="16" t="inlineStr">
        <is>
          <t>800–899</t>
        </is>
      </c>
      <c r="E132" s="16" t="n">
        <v>800</v>
      </c>
      <c r="F132" s="17" t="n">
        <v>1.04544</v>
      </c>
      <c r="G132" s="17" t="n">
        <v>0.6877</v>
      </c>
      <c r="H132" s="17" t="n">
        <v>1.04544</v>
      </c>
      <c r="I132" s="18" t="inlineStr">
        <is>
          <t>Marfel</t>
        </is>
      </c>
      <c r="J132" s="17" t="n">
        <v>0.3</v>
      </c>
      <c r="K132" s="19">
        <f>J132*E132</f>
        <v/>
      </c>
      <c r="L132" s="19">
        <f>H132+J132</f>
        <v/>
      </c>
      <c r="M132" s="20" t="n">
        <v>0.51</v>
      </c>
      <c r="N132" s="19">
        <f>L132*(1+M132)</f>
        <v/>
      </c>
      <c r="O132" s="21" t="inlineStr"/>
    </row>
    <row r="133">
      <c r="A133" s="15" t="inlineStr">
        <is>
          <t>Alça Fita</t>
        </is>
      </c>
      <c r="B133" s="16" t="inlineStr">
        <is>
          <t>30x45</t>
        </is>
      </c>
      <c r="C133" s="16" t="inlineStr">
        <is>
          <t>0,15</t>
        </is>
      </c>
      <c r="D133" s="16" t="inlineStr">
        <is>
          <t>900–999</t>
        </is>
      </c>
      <c r="E133" s="16" t="n">
        <v>900</v>
      </c>
      <c r="F133" s="17" t="n">
        <v>1.04544</v>
      </c>
      <c r="G133" s="17" t="n">
        <v>0.6877</v>
      </c>
      <c r="H133" s="17" t="n">
        <v>1.04544</v>
      </c>
      <c r="I133" s="18" t="inlineStr">
        <is>
          <t>Marfel</t>
        </is>
      </c>
      <c r="J133" s="17" t="n">
        <v>0.3</v>
      </c>
      <c r="K133" s="19">
        <f>J133*E133</f>
        <v/>
      </c>
      <c r="L133" s="19">
        <f>H133+J133</f>
        <v/>
      </c>
      <c r="M133" s="20" t="n">
        <v>0.48</v>
      </c>
      <c r="N133" s="19">
        <f>L133*(1+M133)</f>
        <v/>
      </c>
      <c r="O133" s="21" t="inlineStr"/>
    </row>
    <row r="134">
      <c r="A134" s="15" t="inlineStr">
        <is>
          <t>Alça Fita</t>
        </is>
      </c>
      <c r="B134" s="16" t="inlineStr">
        <is>
          <t>30x45</t>
        </is>
      </c>
      <c r="C134" s="16" t="inlineStr">
        <is>
          <t>0,15</t>
        </is>
      </c>
      <c r="D134" s="16" t="inlineStr">
        <is>
          <t>1000+</t>
        </is>
      </c>
      <c r="E134" s="16" t="n">
        <v>1000</v>
      </c>
      <c r="F134" s="17" t="n">
        <v>1.04544</v>
      </c>
      <c r="G134" s="17" t="n">
        <v>0.6877</v>
      </c>
      <c r="H134" s="17" t="n">
        <v>1.04544</v>
      </c>
      <c r="I134" s="18" t="inlineStr">
        <is>
          <t>Marfel</t>
        </is>
      </c>
      <c r="J134" s="17" t="n">
        <v>0.3</v>
      </c>
      <c r="K134" s="19">
        <f>J134*E134</f>
        <v/>
      </c>
      <c r="L134" s="19">
        <f>H134+J134</f>
        <v/>
      </c>
      <c r="M134" s="20" t="n">
        <v>0.4</v>
      </c>
      <c r="N134" s="19">
        <f>L134*(1+M134)</f>
        <v/>
      </c>
      <c r="O134" s="21" t="inlineStr"/>
    </row>
    <row r="135">
      <c r="A135" s="8" t="inlineStr">
        <is>
          <t>Alça Fita</t>
        </is>
      </c>
      <c r="B135" s="9" t="inlineStr">
        <is>
          <t>40x50</t>
        </is>
      </c>
      <c r="C135" s="9" t="inlineStr">
        <is>
          <t>0,13</t>
        </is>
      </c>
      <c r="D135" s="9" t="inlineStr">
        <is>
          <t>100–199</t>
        </is>
      </c>
      <c r="E135" s="9" t="n">
        <v>100</v>
      </c>
      <c r="F135" s="10" t="n">
        <v>1.1223</v>
      </c>
      <c r="G135" s="10" t="n">
        <v>0</v>
      </c>
      <c r="H135" s="10" t="n">
        <v>1.1223</v>
      </c>
      <c r="I135" s="11" t="inlineStr">
        <is>
          <t>Marfel (unico)</t>
        </is>
      </c>
      <c r="J135" s="10" t="n">
        <v>0.3</v>
      </c>
      <c r="K135" s="12">
        <f>J135*E135</f>
        <v/>
      </c>
      <c r="L135" s="12">
        <f>H135+J135</f>
        <v/>
      </c>
      <c r="M135" s="13" t="n">
        <v>1</v>
      </c>
      <c r="N135" s="12">
        <f>L135*(1+M135)</f>
        <v/>
      </c>
      <c r="O135" s="14" t="inlineStr">
        <is>
          <t>Sem custo cadastrado da Alquimia para esta gramatura — usado apenas o valor da Marfel.</t>
        </is>
      </c>
    </row>
    <row r="136">
      <c r="A136" s="8" t="inlineStr">
        <is>
          <t>Alça Fita</t>
        </is>
      </c>
      <c r="B136" s="9" t="inlineStr">
        <is>
          <t>40x50</t>
        </is>
      </c>
      <c r="C136" s="9" t="inlineStr">
        <is>
          <t>0,13</t>
        </is>
      </c>
      <c r="D136" s="9" t="inlineStr">
        <is>
          <t>200–299</t>
        </is>
      </c>
      <c r="E136" s="9" t="n">
        <v>200</v>
      </c>
      <c r="F136" s="10" t="n">
        <v>1.1223</v>
      </c>
      <c r="G136" s="10" t="n">
        <v>0</v>
      </c>
      <c r="H136" s="10" t="n">
        <v>1.1223</v>
      </c>
      <c r="I136" s="11" t="inlineStr">
        <is>
          <t>Marfel (unico)</t>
        </is>
      </c>
      <c r="J136" s="10" t="n">
        <v>0.3</v>
      </c>
      <c r="K136" s="12">
        <f>J136*E136</f>
        <v/>
      </c>
      <c r="L136" s="12">
        <f>H136+J136</f>
        <v/>
      </c>
      <c r="M136" s="13" t="n">
        <v>0.75</v>
      </c>
      <c r="N136" s="12">
        <f>L136*(1+M136)</f>
        <v/>
      </c>
      <c r="O136" s="14" t="inlineStr">
        <is>
          <t>Sem custo cadastrado da Alquimia para esta gramatura — usado apenas o valor da Marfel.</t>
        </is>
      </c>
    </row>
    <row r="137">
      <c r="A137" s="8" t="inlineStr">
        <is>
          <t>Alça Fita</t>
        </is>
      </c>
      <c r="B137" s="9" t="inlineStr">
        <is>
          <t>40x50</t>
        </is>
      </c>
      <c r="C137" s="9" t="inlineStr">
        <is>
          <t>0,13</t>
        </is>
      </c>
      <c r="D137" s="9" t="inlineStr">
        <is>
          <t>300–399</t>
        </is>
      </c>
      <c r="E137" s="9" t="n">
        <v>300</v>
      </c>
      <c r="F137" s="10" t="n">
        <v>1.1223</v>
      </c>
      <c r="G137" s="10" t="n">
        <v>0</v>
      </c>
      <c r="H137" s="10" t="n">
        <v>1.1223</v>
      </c>
      <c r="I137" s="11" t="inlineStr">
        <is>
          <t>Marfel (unico)</t>
        </is>
      </c>
      <c r="J137" s="10" t="n">
        <v>0.3</v>
      </c>
      <c r="K137" s="12">
        <f>J137*E137</f>
        <v/>
      </c>
      <c r="L137" s="12">
        <f>H137+J137</f>
        <v/>
      </c>
      <c r="M137" s="13" t="n">
        <v>0.7</v>
      </c>
      <c r="N137" s="12">
        <f>L137*(1+M137)</f>
        <v/>
      </c>
      <c r="O137" s="14" t="inlineStr">
        <is>
          <t>Sem custo cadastrado da Alquimia para esta gramatura — usado apenas o valor da Marfel.</t>
        </is>
      </c>
    </row>
    <row r="138">
      <c r="A138" s="8" t="inlineStr">
        <is>
          <t>Alça Fita</t>
        </is>
      </c>
      <c r="B138" s="9" t="inlineStr">
        <is>
          <t>40x50</t>
        </is>
      </c>
      <c r="C138" s="9" t="inlineStr">
        <is>
          <t>0,13</t>
        </is>
      </c>
      <c r="D138" s="9" t="inlineStr">
        <is>
          <t>400–499</t>
        </is>
      </c>
      <c r="E138" s="9" t="n">
        <v>400</v>
      </c>
      <c r="F138" s="10" t="n">
        <v>1.1223</v>
      </c>
      <c r="G138" s="10" t="n">
        <v>0</v>
      </c>
      <c r="H138" s="10" t="n">
        <v>1.1223</v>
      </c>
      <c r="I138" s="11" t="inlineStr">
        <is>
          <t>Marfel (unico)</t>
        </is>
      </c>
      <c r="J138" s="10" t="n">
        <v>0.3</v>
      </c>
      <c r="K138" s="12">
        <f>J138*E138</f>
        <v/>
      </c>
      <c r="L138" s="12">
        <f>H138+J138</f>
        <v/>
      </c>
      <c r="M138" s="13" t="n">
        <v>0.65</v>
      </c>
      <c r="N138" s="12">
        <f>L138*(1+M138)</f>
        <v/>
      </c>
      <c r="O138" s="14" t="inlineStr">
        <is>
          <t>Sem custo cadastrado da Alquimia para esta gramatura — usado apenas o valor da Marfel.</t>
        </is>
      </c>
    </row>
    <row r="139">
      <c r="A139" s="8" t="inlineStr">
        <is>
          <t>Alça Fita</t>
        </is>
      </c>
      <c r="B139" s="9" t="inlineStr">
        <is>
          <t>40x50</t>
        </is>
      </c>
      <c r="C139" s="9" t="inlineStr">
        <is>
          <t>0,13</t>
        </is>
      </c>
      <c r="D139" s="9" t="inlineStr">
        <is>
          <t>500–599</t>
        </is>
      </c>
      <c r="E139" s="9" t="n">
        <v>500</v>
      </c>
      <c r="F139" s="10" t="n">
        <v>1.1223</v>
      </c>
      <c r="G139" s="10" t="n">
        <v>0</v>
      </c>
      <c r="H139" s="10" t="n">
        <v>1.1223</v>
      </c>
      <c r="I139" s="11" t="inlineStr">
        <is>
          <t>Marfel (unico)</t>
        </is>
      </c>
      <c r="J139" s="10" t="n">
        <v>0.3</v>
      </c>
      <c r="K139" s="12">
        <f>J139*E139</f>
        <v/>
      </c>
      <c r="L139" s="12">
        <f>H139+J139</f>
        <v/>
      </c>
      <c r="M139" s="13" t="n">
        <v>0.6</v>
      </c>
      <c r="N139" s="12">
        <f>L139*(1+M139)</f>
        <v/>
      </c>
      <c r="O139" s="14" t="inlineStr">
        <is>
          <t>Sem custo cadastrado da Alquimia para esta gramatura — usado apenas o valor da Marfel.</t>
        </is>
      </c>
    </row>
    <row r="140">
      <c r="A140" s="8" t="inlineStr">
        <is>
          <t>Alça Fita</t>
        </is>
      </c>
      <c r="B140" s="9" t="inlineStr">
        <is>
          <t>40x50</t>
        </is>
      </c>
      <c r="C140" s="9" t="inlineStr">
        <is>
          <t>0,13</t>
        </is>
      </c>
      <c r="D140" s="9" t="inlineStr">
        <is>
          <t>600–699</t>
        </is>
      </c>
      <c r="E140" s="9" t="n">
        <v>600</v>
      </c>
      <c r="F140" s="10" t="n">
        <v>1.1223</v>
      </c>
      <c r="G140" s="10" t="n">
        <v>0</v>
      </c>
      <c r="H140" s="10" t="n">
        <v>1.1223</v>
      </c>
      <c r="I140" s="11" t="inlineStr">
        <is>
          <t>Marfel (unico)</t>
        </is>
      </c>
      <c r="J140" s="10" t="n">
        <v>0.3</v>
      </c>
      <c r="K140" s="12">
        <f>J140*E140</f>
        <v/>
      </c>
      <c r="L140" s="12">
        <f>H140+J140</f>
        <v/>
      </c>
      <c r="M140" s="13" t="n">
        <v>0.57</v>
      </c>
      <c r="N140" s="12">
        <f>L140*(1+M140)</f>
        <v/>
      </c>
      <c r="O140" s="14" t="inlineStr">
        <is>
          <t>Sem custo cadastrado da Alquimia para esta gramatura — usado apenas o valor da Marfel.</t>
        </is>
      </c>
    </row>
    <row r="141">
      <c r="A141" s="8" t="inlineStr">
        <is>
          <t>Alça Fita</t>
        </is>
      </c>
      <c r="B141" s="9" t="inlineStr">
        <is>
          <t>40x50</t>
        </is>
      </c>
      <c r="C141" s="9" t="inlineStr">
        <is>
          <t>0,13</t>
        </is>
      </c>
      <c r="D141" s="9" t="inlineStr">
        <is>
          <t>700–799</t>
        </is>
      </c>
      <c r="E141" s="9" t="n">
        <v>700</v>
      </c>
      <c r="F141" s="10" t="n">
        <v>1.1223</v>
      </c>
      <c r="G141" s="10" t="n">
        <v>0</v>
      </c>
      <c r="H141" s="10" t="n">
        <v>1.1223</v>
      </c>
      <c r="I141" s="11" t="inlineStr">
        <is>
          <t>Marfel (unico)</t>
        </is>
      </c>
      <c r="J141" s="10" t="n">
        <v>0.3</v>
      </c>
      <c r="K141" s="12">
        <f>J141*E141</f>
        <v/>
      </c>
      <c r="L141" s="12">
        <f>H141+J141</f>
        <v/>
      </c>
      <c r="M141" s="13" t="n">
        <v>0.54</v>
      </c>
      <c r="N141" s="12">
        <f>L141*(1+M141)</f>
        <v/>
      </c>
      <c r="O141" s="14" t="inlineStr">
        <is>
          <t>Sem custo cadastrado da Alquimia para esta gramatura — usado apenas o valor da Marfel.</t>
        </is>
      </c>
    </row>
    <row r="142">
      <c r="A142" s="8" t="inlineStr">
        <is>
          <t>Alça Fita</t>
        </is>
      </c>
      <c r="B142" s="9" t="inlineStr">
        <is>
          <t>40x50</t>
        </is>
      </c>
      <c r="C142" s="9" t="inlineStr">
        <is>
          <t>0,13</t>
        </is>
      </c>
      <c r="D142" s="9" t="inlineStr">
        <is>
          <t>800–899</t>
        </is>
      </c>
      <c r="E142" s="9" t="n">
        <v>800</v>
      </c>
      <c r="F142" s="10" t="n">
        <v>1.1223</v>
      </c>
      <c r="G142" s="10" t="n">
        <v>0</v>
      </c>
      <c r="H142" s="10" t="n">
        <v>1.1223</v>
      </c>
      <c r="I142" s="11" t="inlineStr">
        <is>
          <t>Marfel (unico)</t>
        </is>
      </c>
      <c r="J142" s="10" t="n">
        <v>0.3</v>
      </c>
      <c r="K142" s="12">
        <f>J142*E142</f>
        <v/>
      </c>
      <c r="L142" s="12">
        <f>H142+J142</f>
        <v/>
      </c>
      <c r="M142" s="13" t="n">
        <v>0.51</v>
      </c>
      <c r="N142" s="12">
        <f>L142*(1+M142)</f>
        <v/>
      </c>
      <c r="O142" s="14" t="inlineStr">
        <is>
          <t>Sem custo cadastrado da Alquimia para esta gramatura — usado apenas o valor da Marfel.</t>
        </is>
      </c>
    </row>
    <row r="143">
      <c r="A143" s="8" t="inlineStr">
        <is>
          <t>Alça Fita</t>
        </is>
      </c>
      <c r="B143" s="9" t="inlineStr">
        <is>
          <t>40x50</t>
        </is>
      </c>
      <c r="C143" s="9" t="inlineStr">
        <is>
          <t>0,13</t>
        </is>
      </c>
      <c r="D143" s="9" t="inlineStr">
        <is>
          <t>900–999</t>
        </is>
      </c>
      <c r="E143" s="9" t="n">
        <v>900</v>
      </c>
      <c r="F143" s="10" t="n">
        <v>1.1223</v>
      </c>
      <c r="G143" s="10" t="n">
        <v>0</v>
      </c>
      <c r="H143" s="10" t="n">
        <v>1.1223</v>
      </c>
      <c r="I143" s="11" t="inlineStr">
        <is>
          <t>Marfel (unico)</t>
        </is>
      </c>
      <c r="J143" s="10" t="n">
        <v>0.3</v>
      </c>
      <c r="K143" s="12">
        <f>J143*E143</f>
        <v/>
      </c>
      <c r="L143" s="12">
        <f>H143+J143</f>
        <v/>
      </c>
      <c r="M143" s="13" t="n">
        <v>0.48</v>
      </c>
      <c r="N143" s="12">
        <f>L143*(1+M143)</f>
        <v/>
      </c>
      <c r="O143" s="14" t="inlineStr">
        <is>
          <t>Sem custo cadastrado da Alquimia para esta gramatura — usado apenas o valor da Marfel.</t>
        </is>
      </c>
    </row>
    <row r="144">
      <c r="A144" s="8" t="inlineStr">
        <is>
          <t>Alça Fita</t>
        </is>
      </c>
      <c r="B144" s="9" t="inlineStr">
        <is>
          <t>40x50</t>
        </is>
      </c>
      <c r="C144" s="9" t="inlineStr">
        <is>
          <t>0,13</t>
        </is>
      </c>
      <c r="D144" s="9" t="inlineStr">
        <is>
          <t>1000+</t>
        </is>
      </c>
      <c r="E144" s="9" t="n">
        <v>1000</v>
      </c>
      <c r="F144" s="10" t="n">
        <v>1.1223</v>
      </c>
      <c r="G144" s="10" t="n">
        <v>0</v>
      </c>
      <c r="H144" s="10" t="n">
        <v>1.1223</v>
      </c>
      <c r="I144" s="11" t="inlineStr">
        <is>
          <t>Marfel (unico)</t>
        </is>
      </c>
      <c r="J144" s="10" t="n">
        <v>0.3</v>
      </c>
      <c r="K144" s="12">
        <f>J144*E144</f>
        <v/>
      </c>
      <c r="L144" s="12">
        <f>H144+J144</f>
        <v/>
      </c>
      <c r="M144" s="13" t="n">
        <v>0.4</v>
      </c>
      <c r="N144" s="12">
        <f>L144*(1+M144)</f>
        <v/>
      </c>
      <c r="O144" s="14" t="inlineStr">
        <is>
          <t>Sem custo cadastrado da Alquimia para esta gramatura — usado apenas o valor da Marfel.</t>
        </is>
      </c>
    </row>
    <row r="145">
      <c r="A145" s="15" t="inlineStr">
        <is>
          <t>Alça Fita</t>
        </is>
      </c>
      <c r="B145" s="16" t="inlineStr">
        <is>
          <t>40x50</t>
        </is>
      </c>
      <c r="C145" s="16" t="inlineStr">
        <is>
          <t>0,15</t>
        </is>
      </c>
      <c r="D145" s="16" t="inlineStr">
        <is>
          <t>100–199</t>
        </is>
      </c>
      <c r="E145" s="16" t="n">
        <v>100</v>
      </c>
      <c r="F145" s="17" t="n">
        <v>1.4688</v>
      </c>
      <c r="G145" s="17" t="n">
        <v>0.9568000000000001</v>
      </c>
      <c r="H145" s="17" t="n">
        <v>1.4688</v>
      </c>
      <c r="I145" s="18" t="inlineStr">
        <is>
          <t>Marfel</t>
        </is>
      </c>
      <c r="J145" s="17" t="n">
        <v>0.3</v>
      </c>
      <c r="K145" s="19">
        <f>J145*E145</f>
        <v/>
      </c>
      <c r="L145" s="19">
        <f>H145+J145</f>
        <v/>
      </c>
      <c r="M145" s="20" t="n">
        <v>1</v>
      </c>
      <c r="N145" s="19">
        <f>L145*(1+M145)</f>
        <v/>
      </c>
      <c r="O145" s="21" t="inlineStr"/>
    </row>
    <row r="146">
      <c r="A146" s="15" t="inlineStr">
        <is>
          <t>Alça Fita</t>
        </is>
      </c>
      <c r="B146" s="16" t="inlineStr">
        <is>
          <t>40x50</t>
        </is>
      </c>
      <c r="C146" s="16" t="inlineStr">
        <is>
          <t>0,15</t>
        </is>
      </c>
      <c r="D146" s="16" t="inlineStr">
        <is>
          <t>200–299</t>
        </is>
      </c>
      <c r="E146" s="16" t="n">
        <v>200</v>
      </c>
      <c r="F146" s="17" t="n">
        <v>1.4688</v>
      </c>
      <c r="G146" s="17" t="n">
        <v>0.9568000000000001</v>
      </c>
      <c r="H146" s="17" t="n">
        <v>1.4688</v>
      </c>
      <c r="I146" s="18" t="inlineStr">
        <is>
          <t>Marfel</t>
        </is>
      </c>
      <c r="J146" s="17" t="n">
        <v>0.3</v>
      </c>
      <c r="K146" s="19">
        <f>J146*E146</f>
        <v/>
      </c>
      <c r="L146" s="19">
        <f>H146+J146</f>
        <v/>
      </c>
      <c r="M146" s="20" t="n">
        <v>0.75</v>
      </c>
      <c r="N146" s="19">
        <f>L146*(1+M146)</f>
        <v/>
      </c>
      <c r="O146" s="21" t="inlineStr"/>
    </row>
    <row r="147">
      <c r="A147" s="15" t="inlineStr">
        <is>
          <t>Alça Fita</t>
        </is>
      </c>
      <c r="B147" s="16" t="inlineStr">
        <is>
          <t>40x50</t>
        </is>
      </c>
      <c r="C147" s="16" t="inlineStr">
        <is>
          <t>0,15</t>
        </is>
      </c>
      <c r="D147" s="16" t="inlineStr">
        <is>
          <t>300–399</t>
        </is>
      </c>
      <c r="E147" s="16" t="n">
        <v>300</v>
      </c>
      <c r="F147" s="17" t="n">
        <v>1.4688</v>
      </c>
      <c r="G147" s="17" t="n">
        <v>0.9568000000000001</v>
      </c>
      <c r="H147" s="17" t="n">
        <v>1.4688</v>
      </c>
      <c r="I147" s="18" t="inlineStr">
        <is>
          <t>Marfel</t>
        </is>
      </c>
      <c r="J147" s="17" t="n">
        <v>0.3</v>
      </c>
      <c r="K147" s="19">
        <f>J147*E147</f>
        <v/>
      </c>
      <c r="L147" s="19">
        <f>H147+J147</f>
        <v/>
      </c>
      <c r="M147" s="20" t="n">
        <v>0.7</v>
      </c>
      <c r="N147" s="19">
        <f>L147*(1+M147)</f>
        <v/>
      </c>
      <c r="O147" s="21" t="inlineStr"/>
    </row>
    <row r="148">
      <c r="A148" s="15" t="inlineStr">
        <is>
          <t>Alça Fita</t>
        </is>
      </c>
      <c r="B148" s="16" t="inlineStr">
        <is>
          <t>40x50</t>
        </is>
      </c>
      <c r="C148" s="16" t="inlineStr">
        <is>
          <t>0,15</t>
        </is>
      </c>
      <c r="D148" s="16" t="inlineStr">
        <is>
          <t>400–499</t>
        </is>
      </c>
      <c r="E148" s="16" t="n">
        <v>400</v>
      </c>
      <c r="F148" s="17" t="n">
        <v>1.4688</v>
      </c>
      <c r="G148" s="17" t="n">
        <v>0.9568000000000001</v>
      </c>
      <c r="H148" s="17" t="n">
        <v>1.4688</v>
      </c>
      <c r="I148" s="18" t="inlineStr">
        <is>
          <t>Marfel</t>
        </is>
      </c>
      <c r="J148" s="17" t="n">
        <v>0.3</v>
      </c>
      <c r="K148" s="19">
        <f>J148*E148</f>
        <v/>
      </c>
      <c r="L148" s="19">
        <f>H148+J148</f>
        <v/>
      </c>
      <c r="M148" s="20" t="n">
        <v>0.65</v>
      </c>
      <c r="N148" s="19">
        <f>L148*(1+M148)</f>
        <v/>
      </c>
      <c r="O148" s="21" t="inlineStr"/>
    </row>
    <row r="149">
      <c r="A149" s="15" t="inlineStr">
        <is>
          <t>Alça Fita</t>
        </is>
      </c>
      <c r="B149" s="16" t="inlineStr">
        <is>
          <t>40x50</t>
        </is>
      </c>
      <c r="C149" s="16" t="inlineStr">
        <is>
          <t>0,15</t>
        </is>
      </c>
      <c r="D149" s="16" t="inlineStr">
        <is>
          <t>500–599</t>
        </is>
      </c>
      <c r="E149" s="16" t="n">
        <v>500</v>
      </c>
      <c r="F149" s="17" t="n">
        <v>1.4688</v>
      </c>
      <c r="G149" s="17" t="n">
        <v>0.9568000000000001</v>
      </c>
      <c r="H149" s="17" t="n">
        <v>1.4688</v>
      </c>
      <c r="I149" s="18" t="inlineStr">
        <is>
          <t>Marfel</t>
        </is>
      </c>
      <c r="J149" s="17" t="n">
        <v>0.3</v>
      </c>
      <c r="K149" s="19">
        <f>J149*E149</f>
        <v/>
      </c>
      <c r="L149" s="19">
        <f>H149+J149</f>
        <v/>
      </c>
      <c r="M149" s="20" t="n">
        <v>0.6</v>
      </c>
      <c r="N149" s="19">
        <f>L149*(1+M149)</f>
        <v/>
      </c>
      <c r="O149" s="21" t="inlineStr"/>
    </row>
    <row r="150">
      <c r="A150" s="15" t="inlineStr">
        <is>
          <t>Alça Fita</t>
        </is>
      </c>
      <c r="B150" s="16" t="inlineStr">
        <is>
          <t>40x50</t>
        </is>
      </c>
      <c r="C150" s="16" t="inlineStr">
        <is>
          <t>0,15</t>
        </is>
      </c>
      <c r="D150" s="16" t="inlineStr">
        <is>
          <t>600–699</t>
        </is>
      </c>
      <c r="E150" s="16" t="n">
        <v>600</v>
      </c>
      <c r="F150" s="17" t="n">
        <v>1.4688</v>
      </c>
      <c r="G150" s="17" t="n">
        <v>0.9568000000000001</v>
      </c>
      <c r="H150" s="17" t="n">
        <v>1.4688</v>
      </c>
      <c r="I150" s="18" t="inlineStr">
        <is>
          <t>Marfel</t>
        </is>
      </c>
      <c r="J150" s="17" t="n">
        <v>0.3</v>
      </c>
      <c r="K150" s="19">
        <f>J150*E150</f>
        <v/>
      </c>
      <c r="L150" s="19">
        <f>H150+J150</f>
        <v/>
      </c>
      <c r="M150" s="20" t="n">
        <v>0.57</v>
      </c>
      <c r="N150" s="19">
        <f>L150*(1+M150)</f>
        <v/>
      </c>
      <c r="O150" s="21" t="inlineStr"/>
    </row>
    <row r="151">
      <c r="A151" s="15" t="inlineStr">
        <is>
          <t>Alça Fita</t>
        </is>
      </c>
      <c r="B151" s="16" t="inlineStr">
        <is>
          <t>40x50</t>
        </is>
      </c>
      <c r="C151" s="16" t="inlineStr">
        <is>
          <t>0,15</t>
        </is>
      </c>
      <c r="D151" s="16" t="inlineStr">
        <is>
          <t>700–799</t>
        </is>
      </c>
      <c r="E151" s="16" t="n">
        <v>700</v>
      </c>
      <c r="F151" s="17" t="n">
        <v>1.4688</v>
      </c>
      <c r="G151" s="17" t="n">
        <v>0.9568000000000001</v>
      </c>
      <c r="H151" s="17" t="n">
        <v>1.4688</v>
      </c>
      <c r="I151" s="18" t="inlineStr">
        <is>
          <t>Marfel</t>
        </is>
      </c>
      <c r="J151" s="17" t="n">
        <v>0.3</v>
      </c>
      <c r="K151" s="19">
        <f>J151*E151</f>
        <v/>
      </c>
      <c r="L151" s="19">
        <f>H151+J151</f>
        <v/>
      </c>
      <c r="M151" s="20" t="n">
        <v>0.54</v>
      </c>
      <c r="N151" s="19">
        <f>L151*(1+M151)</f>
        <v/>
      </c>
      <c r="O151" s="21" t="inlineStr"/>
    </row>
    <row r="152">
      <c r="A152" s="15" t="inlineStr">
        <is>
          <t>Alça Fita</t>
        </is>
      </c>
      <c r="B152" s="16" t="inlineStr">
        <is>
          <t>40x50</t>
        </is>
      </c>
      <c r="C152" s="16" t="inlineStr">
        <is>
          <t>0,15</t>
        </is>
      </c>
      <c r="D152" s="16" t="inlineStr">
        <is>
          <t>800–899</t>
        </is>
      </c>
      <c r="E152" s="16" t="n">
        <v>800</v>
      </c>
      <c r="F152" s="17" t="n">
        <v>1.4688</v>
      </c>
      <c r="G152" s="17" t="n">
        <v>0.9568000000000001</v>
      </c>
      <c r="H152" s="17" t="n">
        <v>1.4688</v>
      </c>
      <c r="I152" s="18" t="inlineStr">
        <is>
          <t>Marfel</t>
        </is>
      </c>
      <c r="J152" s="17" t="n">
        <v>0.3</v>
      </c>
      <c r="K152" s="19">
        <f>J152*E152</f>
        <v/>
      </c>
      <c r="L152" s="19">
        <f>H152+J152</f>
        <v/>
      </c>
      <c r="M152" s="20" t="n">
        <v>0.51</v>
      </c>
      <c r="N152" s="19">
        <f>L152*(1+M152)</f>
        <v/>
      </c>
      <c r="O152" s="21" t="inlineStr"/>
    </row>
    <row r="153">
      <c r="A153" s="15" t="inlineStr">
        <is>
          <t>Alça Fita</t>
        </is>
      </c>
      <c r="B153" s="16" t="inlineStr">
        <is>
          <t>40x50</t>
        </is>
      </c>
      <c r="C153" s="16" t="inlineStr">
        <is>
          <t>0,15</t>
        </is>
      </c>
      <c r="D153" s="16" t="inlineStr">
        <is>
          <t>900–999</t>
        </is>
      </c>
      <c r="E153" s="16" t="n">
        <v>900</v>
      </c>
      <c r="F153" s="17" t="n">
        <v>1.4688</v>
      </c>
      <c r="G153" s="17" t="n">
        <v>0.9568000000000001</v>
      </c>
      <c r="H153" s="17" t="n">
        <v>1.4688</v>
      </c>
      <c r="I153" s="18" t="inlineStr">
        <is>
          <t>Marfel</t>
        </is>
      </c>
      <c r="J153" s="17" t="n">
        <v>0.3</v>
      </c>
      <c r="K153" s="19">
        <f>J153*E153</f>
        <v/>
      </c>
      <c r="L153" s="19">
        <f>H153+J153</f>
        <v/>
      </c>
      <c r="M153" s="20" t="n">
        <v>0.48</v>
      </c>
      <c r="N153" s="19">
        <f>L153*(1+M153)</f>
        <v/>
      </c>
      <c r="O153" s="21" t="inlineStr"/>
    </row>
    <row r="154">
      <c r="A154" s="15" t="inlineStr">
        <is>
          <t>Alça Fita</t>
        </is>
      </c>
      <c r="B154" s="16" t="inlineStr">
        <is>
          <t>40x50</t>
        </is>
      </c>
      <c r="C154" s="16" t="inlineStr">
        <is>
          <t>0,15</t>
        </is>
      </c>
      <c r="D154" s="16" t="inlineStr">
        <is>
          <t>1000+</t>
        </is>
      </c>
      <c r="E154" s="16" t="n">
        <v>1000</v>
      </c>
      <c r="F154" s="17" t="n">
        <v>1.4688</v>
      </c>
      <c r="G154" s="17" t="n">
        <v>0.9568000000000001</v>
      </c>
      <c r="H154" s="17" t="n">
        <v>1.4688</v>
      </c>
      <c r="I154" s="18" t="inlineStr">
        <is>
          <t>Marfel</t>
        </is>
      </c>
      <c r="J154" s="17" t="n">
        <v>0.3</v>
      </c>
      <c r="K154" s="19">
        <f>J154*E154</f>
        <v/>
      </c>
      <c r="L154" s="19">
        <f>H154+J154</f>
        <v/>
      </c>
      <c r="M154" s="20" t="n">
        <v>0.4</v>
      </c>
      <c r="N154" s="19">
        <f>L154*(1+M154)</f>
        <v/>
      </c>
      <c r="O154" s="21" t="inlineStr"/>
    </row>
    <row r="155">
      <c r="A155" s="8" t="inlineStr">
        <is>
          <t>Alça Fita</t>
        </is>
      </c>
      <c r="B155" s="9" t="inlineStr">
        <is>
          <t>45x55</t>
        </is>
      </c>
      <c r="C155" s="9" t="inlineStr">
        <is>
          <t>0,13</t>
        </is>
      </c>
      <c r="D155" s="9" t="inlineStr">
        <is>
          <t>100–199</t>
        </is>
      </c>
      <c r="E155" s="9" t="n">
        <v>100</v>
      </c>
      <c r="F155" s="10" t="n">
        <v>1.45125</v>
      </c>
      <c r="G155" s="10" t="n">
        <v>0</v>
      </c>
      <c r="H155" s="10" t="n">
        <v>1.45125</v>
      </c>
      <c r="I155" s="11" t="inlineStr">
        <is>
          <t>Marfel (unico)</t>
        </is>
      </c>
      <c r="J155" s="10" t="n">
        <v>0.3</v>
      </c>
      <c r="K155" s="12">
        <f>J155*E155</f>
        <v/>
      </c>
      <c r="L155" s="12">
        <f>H155+J155</f>
        <v/>
      </c>
      <c r="M155" s="13" t="n">
        <v>1</v>
      </c>
      <c r="N155" s="12">
        <f>L155*(1+M155)</f>
        <v/>
      </c>
      <c r="O155" s="14" t="inlineStr">
        <is>
          <t>Sem custo cadastrado da Alquimia para esta gramatura — usado apenas o valor da Marfel.</t>
        </is>
      </c>
    </row>
    <row r="156">
      <c r="A156" s="8" t="inlineStr">
        <is>
          <t>Alça Fita</t>
        </is>
      </c>
      <c r="B156" s="9" t="inlineStr">
        <is>
          <t>45x55</t>
        </is>
      </c>
      <c r="C156" s="9" t="inlineStr">
        <is>
          <t>0,13</t>
        </is>
      </c>
      <c r="D156" s="9" t="inlineStr">
        <is>
          <t>200–299</t>
        </is>
      </c>
      <c r="E156" s="9" t="n">
        <v>200</v>
      </c>
      <c r="F156" s="10" t="n">
        <v>1.45125</v>
      </c>
      <c r="G156" s="10" t="n">
        <v>0</v>
      </c>
      <c r="H156" s="10" t="n">
        <v>1.45125</v>
      </c>
      <c r="I156" s="11" t="inlineStr">
        <is>
          <t>Marfel (unico)</t>
        </is>
      </c>
      <c r="J156" s="10" t="n">
        <v>0.3</v>
      </c>
      <c r="K156" s="12">
        <f>J156*E156</f>
        <v/>
      </c>
      <c r="L156" s="12">
        <f>H156+J156</f>
        <v/>
      </c>
      <c r="M156" s="13" t="n">
        <v>0.75</v>
      </c>
      <c r="N156" s="12">
        <f>L156*(1+M156)</f>
        <v/>
      </c>
      <c r="O156" s="14" t="inlineStr">
        <is>
          <t>Sem custo cadastrado da Alquimia para esta gramatura — usado apenas o valor da Marfel.</t>
        </is>
      </c>
    </row>
    <row r="157">
      <c r="A157" s="8" t="inlineStr">
        <is>
          <t>Alça Fita</t>
        </is>
      </c>
      <c r="B157" s="9" t="inlineStr">
        <is>
          <t>45x55</t>
        </is>
      </c>
      <c r="C157" s="9" t="inlineStr">
        <is>
          <t>0,13</t>
        </is>
      </c>
      <c r="D157" s="9" t="inlineStr">
        <is>
          <t>300–399</t>
        </is>
      </c>
      <c r="E157" s="9" t="n">
        <v>300</v>
      </c>
      <c r="F157" s="10" t="n">
        <v>1.45125</v>
      </c>
      <c r="G157" s="10" t="n">
        <v>0</v>
      </c>
      <c r="H157" s="10" t="n">
        <v>1.45125</v>
      </c>
      <c r="I157" s="11" t="inlineStr">
        <is>
          <t>Marfel (unico)</t>
        </is>
      </c>
      <c r="J157" s="10" t="n">
        <v>0.3</v>
      </c>
      <c r="K157" s="12">
        <f>J157*E157</f>
        <v/>
      </c>
      <c r="L157" s="12">
        <f>H157+J157</f>
        <v/>
      </c>
      <c r="M157" s="13" t="n">
        <v>0.7</v>
      </c>
      <c r="N157" s="12">
        <f>L157*(1+M157)</f>
        <v/>
      </c>
      <c r="O157" s="14" t="inlineStr">
        <is>
          <t>Sem custo cadastrado da Alquimia para esta gramatura — usado apenas o valor da Marfel.</t>
        </is>
      </c>
    </row>
    <row r="158">
      <c r="A158" s="8" t="inlineStr">
        <is>
          <t>Alça Fita</t>
        </is>
      </c>
      <c r="B158" s="9" t="inlineStr">
        <is>
          <t>45x55</t>
        </is>
      </c>
      <c r="C158" s="9" t="inlineStr">
        <is>
          <t>0,13</t>
        </is>
      </c>
      <c r="D158" s="9" t="inlineStr">
        <is>
          <t>400–499</t>
        </is>
      </c>
      <c r="E158" s="9" t="n">
        <v>400</v>
      </c>
      <c r="F158" s="10" t="n">
        <v>1.45125</v>
      </c>
      <c r="G158" s="10" t="n">
        <v>0</v>
      </c>
      <c r="H158" s="10" t="n">
        <v>1.45125</v>
      </c>
      <c r="I158" s="11" t="inlineStr">
        <is>
          <t>Marfel (unico)</t>
        </is>
      </c>
      <c r="J158" s="10" t="n">
        <v>0.3</v>
      </c>
      <c r="K158" s="12">
        <f>J158*E158</f>
        <v/>
      </c>
      <c r="L158" s="12">
        <f>H158+J158</f>
        <v/>
      </c>
      <c r="M158" s="13" t="n">
        <v>0.65</v>
      </c>
      <c r="N158" s="12">
        <f>L158*(1+M158)</f>
        <v/>
      </c>
      <c r="O158" s="14" t="inlineStr">
        <is>
          <t>Sem custo cadastrado da Alquimia para esta gramatura — usado apenas o valor da Marfel.</t>
        </is>
      </c>
    </row>
    <row r="159">
      <c r="A159" s="8" t="inlineStr">
        <is>
          <t>Alça Fita</t>
        </is>
      </c>
      <c r="B159" s="9" t="inlineStr">
        <is>
          <t>45x55</t>
        </is>
      </c>
      <c r="C159" s="9" t="inlineStr">
        <is>
          <t>0,13</t>
        </is>
      </c>
      <c r="D159" s="9" t="inlineStr">
        <is>
          <t>500–599</t>
        </is>
      </c>
      <c r="E159" s="9" t="n">
        <v>500</v>
      </c>
      <c r="F159" s="10" t="n">
        <v>1.45125</v>
      </c>
      <c r="G159" s="10" t="n">
        <v>0</v>
      </c>
      <c r="H159" s="10" t="n">
        <v>1.45125</v>
      </c>
      <c r="I159" s="11" t="inlineStr">
        <is>
          <t>Marfel (unico)</t>
        </is>
      </c>
      <c r="J159" s="10" t="n">
        <v>0.3</v>
      </c>
      <c r="K159" s="12">
        <f>J159*E159</f>
        <v/>
      </c>
      <c r="L159" s="12">
        <f>H159+J159</f>
        <v/>
      </c>
      <c r="M159" s="13" t="n">
        <v>0.6</v>
      </c>
      <c r="N159" s="12">
        <f>L159*(1+M159)</f>
        <v/>
      </c>
      <c r="O159" s="14" t="inlineStr">
        <is>
          <t>Sem custo cadastrado da Alquimia para esta gramatura — usado apenas o valor da Marfel.</t>
        </is>
      </c>
    </row>
    <row r="160">
      <c r="A160" s="8" t="inlineStr">
        <is>
          <t>Alça Fita</t>
        </is>
      </c>
      <c r="B160" s="9" t="inlineStr">
        <is>
          <t>45x55</t>
        </is>
      </c>
      <c r="C160" s="9" t="inlineStr">
        <is>
          <t>0,13</t>
        </is>
      </c>
      <c r="D160" s="9" t="inlineStr">
        <is>
          <t>600–699</t>
        </is>
      </c>
      <c r="E160" s="9" t="n">
        <v>600</v>
      </c>
      <c r="F160" s="10" t="n">
        <v>1.45125</v>
      </c>
      <c r="G160" s="10" t="n">
        <v>0</v>
      </c>
      <c r="H160" s="10" t="n">
        <v>1.45125</v>
      </c>
      <c r="I160" s="11" t="inlineStr">
        <is>
          <t>Marfel (unico)</t>
        </is>
      </c>
      <c r="J160" s="10" t="n">
        <v>0.3</v>
      </c>
      <c r="K160" s="12">
        <f>J160*E160</f>
        <v/>
      </c>
      <c r="L160" s="12">
        <f>H160+J160</f>
        <v/>
      </c>
      <c r="M160" s="13" t="n">
        <v>0.57</v>
      </c>
      <c r="N160" s="12">
        <f>L160*(1+M160)</f>
        <v/>
      </c>
      <c r="O160" s="14" t="inlineStr">
        <is>
          <t>Sem custo cadastrado da Alquimia para esta gramatura — usado apenas o valor da Marfel.</t>
        </is>
      </c>
    </row>
    <row r="161">
      <c r="A161" s="8" t="inlineStr">
        <is>
          <t>Alça Fita</t>
        </is>
      </c>
      <c r="B161" s="9" t="inlineStr">
        <is>
          <t>45x55</t>
        </is>
      </c>
      <c r="C161" s="9" t="inlineStr">
        <is>
          <t>0,13</t>
        </is>
      </c>
      <c r="D161" s="9" t="inlineStr">
        <is>
          <t>700–799</t>
        </is>
      </c>
      <c r="E161" s="9" t="n">
        <v>700</v>
      </c>
      <c r="F161" s="10" t="n">
        <v>1.45125</v>
      </c>
      <c r="G161" s="10" t="n">
        <v>0</v>
      </c>
      <c r="H161" s="10" t="n">
        <v>1.45125</v>
      </c>
      <c r="I161" s="11" t="inlineStr">
        <is>
          <t>Marfel (unico)</t>
        </is>
      </c>
      <c r="J161" s="10" t="n">
        <v>0.3</v>
      </c>
      <c r="K161" s="12">
        <f>J161*E161</f>
        <v/>
      </c>
      <c r="L161" s="12">
        <f>H161+J161</f>
        <v/>
      </c>
      <c r="M161" s="13" t="n">
        <v>0.54</v>
      </c>
      <c r="N161" s="12">
        <f>L161*(1+M161)</f>
        <v/>
      </c>
      <c r="O161" s="14" t="inlineStr">
        <is>
          <t>Sem custo cadastrado da Alquimia para esta gramatura — usado apenas o valor da Marfel.</t>
        </is>
      </c>
    </row>
    <row r="162">
      <c r="A162" s="8" t="inlineStr">
        <is>
          <t>Alça Fita</t>
        </is>
      </c>
      <c r="B162" s="9" t="inlineStr">
        <is>
          <t>45x55</t>
        </is>
      </c>
      <c r="C162" s="9" t="inlineStr">
        <is>
          <t>0,13</t>
        </is>
      </c>
      <c r="D162" s="9" t="inlineStr">
        <is>
          <t>800–899</t>
        </is>
      </c>
      <c r="E162" s="9" t="n">
        <v>800</v>
      </c>
      <c r="F162" s="10" t="n">
        <v>1.45125</v>
      </c>
      <c r="G162" s="10" t="n">
        <v>0</v>
      </c>
      <c r="H162" s="10" t="n">
        <v>1.45125</v>
      </c>
      <c r="I162" s="11" t="inlineStr">
        <is>
          <t>Marfel (unico)</t>
        </is>
      </c>
      <c r="J162" s="10" t="n">
        <v>0.3</v>
      </c>
      <c r="K162" s="12">
        <f>J162*E162</f>
        <v/>
      </c>
      <c r="L162" s="12">
        <f>H162+J162</f>
        <v/>
      </c>
      <c r="M162" s="13" t="n">
        <v>0.51</v>
      </c>
      <c r="N162" s="12">
        <f>L162*(1+M162)</f>
        <v/>
      </c>
      <c r="O162" s="14" t="inlineStr">
        <is>
          <t>Sem custo cadastrado da Alquimia para esta gramatura — usado apenas o valor da Marfel.</t>
        </is>
      </c>
    </row>
    <row r="163">
      <c r="A163" s="8" t="inlineStr">
        <is>
          <t>Alça Fita</t>
        </is>
      </c>
      <c r="B163" s="9" t="inlineStr">
        <is>
          <t>45x55</t>
        </is>
      </c>
      <c r="C163" s="9" t="inlineStr">
        <is>
          <t>0,13</t>
        </is>
      </c>
      <c r="D163" s="9" t="inlineStr">
        <is>
          <t>900–999</t>
        </is>
      </c>
      <c r="E163" s="9" t="n">
        <v>900</v>
      </c>
      <c r="F163" s="10" t="n">
        <v>1.45125</v>
      </c>
      <c r="G163" s="10" t="n">
        <v>0</v>
      </c>
      <c r="H163" s="10" t="n">
        <v>1.45125</v>
      </c>
      <c r="I163" s="11" t="inlineStr">
        <is>
          <t>Marfel (unico)</t>
        </is>
      </c>
      <c r="J163" s="10" t="n">
        <v>0.3</v>
      </c>
      <c r="K163" s="12">
        <f>J163*E163</f>
        <v/>
      </c>
      <c r="L163" s="12">
        <f>H163+J163</f>
        <v/>
      </c>
      <c r="M163" s="13" t="n">
        <v>0.48</v>
      </c>
      <c r="N163" s="12">
        <f>L163*(1+M163)</f>
        <v/>
      </c>
      <c r="O163" s="14" t="inlineStr">
        <is>
          <t>Sem custo cadastrado da Alquimia para esta gramatura — usado apenas o valor da Marfel.</t>
        </is>
      </c>
    </row>
    <row r="164">
      <c r="A164" s="8" t="inlineStr">
        <is>
          <t>Alça Fita</t>
        </is>
      </c>
      <c r="B164" s="9" t="inlineStr">
        <is>
          <t>45x55</t>
        </is>
      </c>
      <c r="C164" s="9" t="inlineStr">
        <is>
          <t>0,13</t>
        </is>
      </c>
      <c r="D164" s="9" t="inlineStr">
        <is>
          <t>1000+</t>
        </is>
      </c>
      <c r="E164" s="9" t="n">
        <v>1000</v>
      </c>
      <c r="F164" s="10" t="n">
        <v>1.45125</v>
      </c>
      <c r="G164" s="10" t="n">
        <v>0</v>
      </c>
      <c r="H164" s="10" t="n">
        <v>1.45125</v>
      </c>
      <c r="I164" s="11" t="inlineStr">
        <is>
          <t>Marfel (unico)</t>
        </is>
      </c>
      <c r="J164" s="10" t="n">
        <v>0.3</v>
      </c>
      <c r="K164" s="12">
        <f>J164*E164</f>
        <v/>
      </c>
      <c r="L164" s="12">
        <f>H164+J164</f>
        <v/>
      </c>
      <c r="M164" s="13" t="n">
        <v>0.4</v>
      </c>
      <c r="N164" s="12">
        <f>L164*(1+M164)</f>
        <v/>
      </c>
      <c r="O164" s="14" t="inlineStr">
        <is>
          <t>Sem custo cadastrado da Alquimia para esta gramatura — usado apenas o valor da Marfel.</t>
        </is>
      </c>
    </row>
    <row r="165">
      <c r="A165" s="15" t="inlineStr">
        <is>
          <t>Alça Fita</t>
        </is>
      </c>
      <c r="B165" s="16" t="inlineStr">
        <is>
          <t>45x55</t>
        </is>
      </c>
      <c r="C165" s="16" t="inlineStr">
        <is>
          <t>0,15</t>
        </is>
      </c>
      <c r="D165" s="16" t="inlineStr">
        <is>
          <t>100–199</t>
        </is>
      </c>
      <c r="E165" s="16" t="n">
        <v>100</v>
      </c>
      <c r="F165" s="17" t="n">
        <v>1.76256</v>
      </c>
      <c r="G165" s="17" t="n">
        <v>1.196</v>
      </c>
      <c r="H165" s="17" t="n">
        <v>1.76256</v>
      </c>
      <c r="I165" s="18" t="inlineStr">
        <is>
          <t>Marfel</t>
        </is>
      </c>
      <c r="J165" s="17" t="n">
        <v>0.3</v>
      </c>
      <c r="K165" s="19">
        <f>J165*E165</f>
        <v/>
      </c>
      <c r="L165" s="19">
        <f>H165+J165</f>
        <v/>
      </c>
      <c r="M165" s="20" t="n">
        <v>1</v>
      </c>
      <c r="N165" s="19">
        <f>L165*(1+M165)</f>
        <v/>
      </c>
      <c r="O165" s="21" t="inlineStr"/>
    </row>
    <row r="166">
      <c r="A166" s="15" t="inlineStr">
        <is>
          <t>Alça Fita</t>
        </is>
      </c>
      <c r="B166" s="16" t="inlineStr">
        <is>
          <t>45x55</t>
        </is>
      </c>
      <c r="C166" s="16" t="inlineStr">
        <is>
          <t>0,15</t>
        </is>
      </c>
      <c r="D166" s="16" t="inlineStr">
        <is>
          <t>200–299</t>
        </is>
      </c>
      <c r="E166" s="16" t="n">
        <v>200</v>
      </c>
      <c r="F166" s="17" t="n">
        <v>1.76256</v>
      </c>
      <c r="G166" s="17" t="n">
        <v>1.196</v>
      </c>
      <c r="H166" s="17" t="n">
        <v>1.76256</v>
      </c>
      <c r="I166" s="18" t="inlineStr">
        <is>
          <t>Marfel</t>
        </is>
      </c>
      <c r="J166" s="17" t="n">
        <v>0.3</v>
      </c>
      <c r="K166" s="19">
        <f>J166*E166</f>
        <v/>
      </c>
      <c r="L166" s="19">
        <f>H166+J166</f>
        <v/>
      </c>
      <c r="M166" s="20" t="n">
        <v>0.75</v>
      </c>
      <c r="N166" s="19">
        <f>L166*(1+M166)</f>
        <v/>
      </c>
      <c r="O166" s="21" t="inlineStr"/>
    </row>
    <row r="167">
      <c r="A167" s="15" t="inlineStr">
        <is>
          <t>Alça Fita</t>
        </is>
      </c>
      <c r="B167" s="16" t="inlineStr">
        <is>
          <t>45x55</t>
        </is>
      </c>
      <c r="C167" s="16" t="inlineStr">
        <is>
          <t>0,15</t>
        </is>
      </c>
      <c r="D167" s="16" t="inlineStr">
        <is>
          <t>300–399</t>
        </is>
      </c>
      <c r="E167" s="16" t="n">
        <v>300</v>
      </c>
      <c r="F167" s="17" t="n">
        <v>1.76256</v>
      </c>
      <c r="G167" s="17" t="n">
        <v>1.196</v>
      </c>
      <c r="H167" s="17" t="n">
        <v>1.76256</v>
      </c>
      <c r="I167" s="18" t="inlineStr">
        <is>
          <t>Marfel</t>
        </is>
      </c>
      <c r="J167" s="17" t="n">
        <v>0.3</v>
      </c>
      <c r="K167" s="19">
        <f>J167*E167</f>
        <v/>
      </c>
      <c r="L167" s="19">
        <f>H167+J167</f>
        <v/>
      </c>
      <c r="M167" s="20" t="n">
        <v>0.7</v>
      </c>
      <c r="N167" s="19">
        <f>L167*(1+M167)</f>
        <v/>
      </c>
      <c r="O167" s="21" t="inlineStr"/>
    </row>
    <row r="168">
      <c r="A168" s="15" t="inlineStr">
        <is>
          <t>Alça Fita</t>
        </is>
      </c>
      <c r="B168" s="16" t="inlineStr">
        <is>
          <t>45x55</t>
        </is>
      </c>
      <c r="C168" s="16" t="inlineStr">
        <is>
          <t>0,15</t>
        </is>
      </c>
      <c r="D168" s="16" t="inlineStr">
        <is>
          <t>400–499</t>
        </is>
      </c>
      <c r="E168" s="16" t="n">
        <v>400</v>
      </c>
      <c r="F168" s="17" t="n">
        <v>1.76256</v>
      </c>
      <c r="G168" s="17" t="n">
        <v>1.196</v>
      </c>
      <c r="H168" s="17" t="n">
        <v>1.76256</v>
      </c>
      <c r="I168" s="18" t="inlineStr">
        <is>
          <t>Marfel</t>
        </is>
      </c>
      <c r="J168" s="17" t="n">
        <v>0.3</v>
      </c>
      <c r="K168" s="19">
        <f>J168*E168</f>
        <v/>
      </c>
      <c r="L168" s="19">
        <f>H168+J168</f>
        <v/>
      </c>
      <c r="M168" s="20" t="n">
        <v>0.65</v>
      </c>
      <c r="N168" s="19">
        <f>L168*(1+M168)</f>
        <v/>
      </c>
      <c r="O168" s="21" t="inlineStr"/>
    </row>
    <row r="169">
      <c r="A169" s="15" t="inlineStr">
        <is>
          <t>Alça Fita</t>
        </is>
      </c>
      <c r="B169" s="16" t="inlineStr">
        <is>
          <t>45x55</t>
        </is>
      </c>
      <c r="C169" s="16" t="inlineStr">
        <is>
          <t>0,15</t>
        </is>
      </c>
      <c r="D169" s="16" t="inlineStr">
        <is>
          <t>500–599</t>
        </is>
      </c>
      <c r="E169" s="16" t="n">
        <v>500</v>
      </c>
      <c r="F169" s="17" t="n">
        <v>1.76256</v>
      </c>
      <c r="G169" s="17" t="n">
        <v>1.196</v>
      </c>
      <c r="H169" s="17" t="n">
        <v>1.76256</v>
      </c>
      <c r="I169" s="18" t="inlineStr">
        <is>
          <t>Marfel</t>
        </is>
      </c>
      <c r="J169" s="17" t="n">
        <v>0.3</v>
      </c>
      <c r="K169" s="19">
        <f>J169*E169</f>
        <v/>
      </c>
      <c r="L169" s="19">
        <f>H169+J169</f>
        <v/>
      </c>
      <c r="M169" s="20" t="n">
        <v>0.6</v>
      </c>
      <c r="N169" s="19">
        <f>L169*(1+M169)</f>
        <v/>
      </c>
      <c r="O169" s="21" t="inlineStr"/>
    </row>
    <row r="170">
      <c r="A170" s="15" t="inlineStr">
        <is>
          <t>Alça Fita</t>
        </is>
      </c>
      <c r="B170" s="16" t="inlineStr">
        <is>
          <t>45x55</t>
        </is>
      </c>
      <c r="C170" s="16" t="inlineStr">
        <is>
          <t>0,15</t>
        </is>
      </c>
      <c r="D170" s="16" t="inlineStr">
        <is>
          <t>600–699</t>
        </is>
      </c>
      <c r="E170" s="16" t="n">
        <v>600</v>
      </c>
      <c r="F170" s="17" t="n">
        <v>1.76256</v>
      </c>
      <c r="G170" s="17" t="n">
        <v>1.196</v>
      </c>
      <c r="H170" s="17" t="n">
        <v>1.76256</v>
      </c>
      <c r="I170" s="18" t="inlineStr">
        <is>
          <t>Marfel</t>
        </is>
      </c>
      <c r="J170" s="17" t="n">
        <v>0.3</v>
      </c>
      <c r="K170" s="19">
        <f>J170*E170</f>
        <v/>
      </c>
      <c r="L170" s="19">
        <f>H170+J170</f>
        <v/>
      </c>
      <c r="M170" s="20" t="n">
        <v>0.57</v>
      </c>
      <c r="N170" s="19">
        <f>L170*(1+M170)</f>
        <v/>
      </c>
      <c r="O170" s="21" t="inlineStr"/>
    </row>
    <row r="171">
      <c r="A171" s="15" t="inlineStr">
        <is>
          <t>Alça Fita</t>
        </is>
      </c>
      <c r="B171" s="16" t="inlineStr">
        <is>
          <t>45x55</t>
        </is>
      </c>
      <c r="C171" s="16" t="inlineStr">
        <is>
          <t>0,15</t>
        </is>
      </c>
      <c r="D171" s="16" t="inlineStr">
        <is>
          <t>700–799</t>
        </is>
      </c>
      <c r="E171" s="16" t="n">
        <v>700</v>
      </c>
      <c r="F171" s="17" t="n">
        <v>1.76256</v>
      </c>
      <c r="G171" s="17" t="n">
        <v>1.196</v>
      </c>
      <c r="H171" s="17" t="n">
        <v>1.76256</v>
      </c>
      <c r="I171" s="18" t="inlineStr">
        <is>
          <t>Marfel</t>
        </is>
      </c>
      <c r="J171" s="17" t="n">
        <v>0.3</v>
      </c>
      <c r="K171" s="19">
        <f>J171*E171</f>
        <v/>
      </c>
      <c r="L171" s="19">
        <f>H171+J171</f>
        <v/>
      </c>
      <c r="M171" s="20" t="n">
        <v>0.54</v>
      </c>
      <c r="N171" s="19">
        <f>L171*(1+M171)</f>
        <v/>
      </c>
      <c r="O171" s="21" t="inlineStr"/>
    </row>
    <row r="172">
      <c r="A172" s="15" t="inlineStr">
        <is>
          <t>Alça Fita</t>
        </is>
      </c>
      <c r="B172" s="16" t="inlineStr">
        <is>
          <t>45x55</t>
        </is>
      </c>
      <c r="C172" s="16" t="inlineStr">
        <is>
          <t>0,15</t>
        </is>
      </c>
      <c r="D172" s="16" t="inlineStr">
        <is>
          <t>800–899</t>
        </is>
      </c>
      <c r="E172" s="16" t="n">
        <v>800</v>
      </c>
      <c r="F172" s="17" t="n">
        <v>1.76256</v>
      </c>
      <c r="G172" s="17" t="n">
        <v>1.196</v>
      </c>
      <c r="H172" s="17" t="n">
        <v>1.76256</v>
      </c>
      <c r="I172" s="18" t="inlineStr">
        <is>
          <t>Marfel</t>
        </is>
      </c>
      <c r="J172" s="17" t="n">
        <v>0.3</v>
      </c>
      <c r="K172" s="19">
        <f>J172*E172</f>
        <v/>
      </c>
      <c r="L172" s="19">
        <f>H172+J172</f>
        <v/>
      </c>
      <c r="M172" s="20" t="n">
        <v>0.51</v>
      </c>
      <c r="N172" s="19">
        <f>L172*(1+M172)</f>
        <v/>
      </c>
      <c r="O172" s="21" t="inlineStr"/>
    </row>
    <row r="173">
      <c r="A173" s="15" t="inlineStr">
        <is>
          <t>Alça Fita</t>
        </is>
      </c>
      <c r="B173" s="16" t="inlineStr">
        <is>
          <t>45x55</t>
        </is>
      </c>
      <c r="C173" s="16" t="inlineStr">
        <is>
          <t>0,15</t>
        </is>
      </c>
      <c r="D173" s="16" t="inlineStr">
        <is>
          <t>900–999</t>
        </is>
      </c>
      <c r="E173" s="16" t="n">
        <v>900</v>
      </c>
      <c r="F173" s="17" t="n">
        <v>1.76256</v>
      </c>
      <c r="G173" s="17" t="n">
        <v>1.196</v>
      </c>
      <c r="H173" s="17" t="n">
        <v>1.76256</v>
      </c>
      <c r="I173" s="18" t="inlineStr">
        <is>
          <t>Marfel</t>
        </is>
      </c>
      <c r="J173" s="17" t="n">
        <v>0.3</v>
      </c>
      <c r="K173" s="19">
        <f>J173*E173</f>
        <v/>
      </c>
      <c r="L173" s="19">
        <f>H173+J173</f>
        <v/>
      </c>
      <c r="M173" s="20" t="n">
        <v>0.48</v>
      </c>
      <c r="N173" s="19">
        <f>L173*(1+M173)</f>
        <v/>
      </c>
      <c r="O173" s="21" t="inlineStr"/>
    </row>
    <row r="174">
      <c r="A174" s="15" t="inlineStr">
        <is>
          <t>Alça Fita</t>
        </is>
      </c>
      <c r="B174" s="16" t="inlineStr">
        <is>
          <t>45x55</t>
        </is>
      </c>
      <c r="C174" s="16" t="inlineStr">
        <is>
          <t>0,15</t>
        </is>
      </c>
      <c r="D174" s="16" t="inlineStr">
        <is>
          <t>1000+</t>
        </is>
      </c>
      <c r="E174" s="16" t="n">
        <v>1000</v>
      </c>
      <c r="F174" s="17" t="n">
        <v>1.76256</v>
      </c>
      <c r="G174" s="17" t="n">
        <v>1.196</v>
      </c>
      <c r="H174" s="17" t="n">
        <v>1.76256</v>
      </c>
      <c r="I174" s="18" t="inlineStr">
        <is>
          <t>Marfel</t>
        </is>
      </c>
      <c r="J174" s="17" t="n">
        <v>0.3</v>
      </c>
      <c r="K174" s="19">
        <f>J174*E174</f>
        <v/>
      </c>
      <c r="L174" s="19">
        <f>H174+J174</f>
        <v/>
      </c>
      <c r="M174" s="20" t="n">
        <v>0.4</v>
      </c>
      <c r="N174" s="19">
        <f>L174*(1+M174)</f>
        <v/>
      </c>
      <c r="O174" s="21" t="inlineStr"/>
    </row>
    <row r="175">
      <c r="A175" s="15" t="inlineStr">
        <is>
          <t>Alça Vazada</t>
        </is>
      </c>
      <c r="B175" s="16" t="inlineStr">
        <is>
          <t>20x30</t>
        </is>
      </c>
      <c r="C175" s="16" t="inlineStr">
        <is>
          <t>0,08</t>
        </is>
      </c>
      <c r="D175" s="16" t="inlineStr">
        <is>
          <t>100–199</t>
        </is>
      </c>
      <c r="E175" s="16" t="n">
        <v>100</v>
      </c>
      <c r="F175" s="17" t="n">
        <v>0.171</v>
      </c>
      <c r="G175" s="17" t="n">
        <v>0.1219</v>
      </c>
      <c r="H175" s="17" t="n">
        <v>0.171</v>
      </c>
      <c r="I175" s="18" t="inlineStr">
        <is>
          <t>Marfel</t>
        </is>
      </c>
      <c r="J175" s="17" t="n">
        <v>0.3</v>
      </c>
      <c r="K175" s="19">
        <f>J175*E175</f>
        <v/>
      </c>
      <c r="L175" s="19">
        <f>H175+J175</f>
        <v/>
      </c>
      <c r="M175" s="20" t="n">
        <v>1</v>
      </c>
      <c r="N175" s="19">
        <f>L175*(1+M175)</f>
        <v/>
      </c>
      <c r="O175" s="21" t="inlineStr"/>
    </row>
    <row r="176">
      <c r="A176" s="15" t="inlineStr">
        <is>
          <t>Alça Vazada</t>
        </is>
      </c>
      <c r="B176" s="16" t="inlineStr">
        <is>
          <t>20x30</t>
        </is>
      </c>
      <c r="C176" s="16" t="inlineStr">
        <is>
          <t>0,08</t>
        </is>
      </c>
      <c r="D176" s="16" t="inlineStr">
        <is>
          <t>200–299</t>
        </is>
      </c>
      <c r="E176" s="16" t="n">
        <v>200</v>
      </c>
      <c r="F176" s="17" t="n">
        <v>0.171</v>
      </c>
      <c r="G176" s="17" t="n">
        <v>0.1219</v>
      </c>
      <c r="H176" s="17" t="n">
        <v>0.171</v>
      </c>
      <c r="I176" s="18" t="inlineStr">
        <is>
          <t>Marfel</t>
        </is>
      </c>
      <c r="J176" s="17" t="n">
        <v>0.3</v>
      </c>
      <c r="K176" s="19">
        <f>J176*E176</f>
        <v/>
      </c>
      <c r="L176" s="19">
        <f>H176+J176</f>
        <v/>
      </c>
      <c r="M176" s="20" t="n">
        <v>0.75</v>
      </c>
      <c r="N176" s="19">
        <f>L176*(1+M176)</f>
        <v/>
      </c>
      <c r="O176" s="21" t="inlineStr"/>
    </row>
    <row r="177">
      <c r="A177" s="15" t="inlineStr">
        <is>
          <t>Alça Vazada</t>
        </is>
      </c>
      <c r="B177" s="16" t="inlineStr">
        <is>
          <t>20x30</t>
        </is>
      </c>
      <c r="C177" s="16" t="inlineStr">
        <is>
          <t>0,08</t>
        </is>
      </c>
      <c r="D177" s="16" t="inlineStr">
        <is>
          <t>300–399</t>
        </is>
      </c>
      <c r="E177" s="16" t="n">
        <v>300</v>
      </c>
      <c r="F177" s="17" t="n">
        <v>0.171</v>
      </c>
      <c r="G177" s="17" t="n">
        <v>0.1219</v>
      </c>
      <c r="H177" s="17" t="n">
        <v>0.171</v>
      </c>
      <c r="I177" s="18" t="inlineStr">
        <is>
          <t>Marfel</t>
        </is>
      </c>
      <c r="J177" s="17" t="n">
        <v>0.3</v>
      </c>
      <c r="K177" s="19">
        <f>J177*E177</f>
        <v/>
      </c>
      <c r="L177" s="19">
        <f>H177+J177</f>
        <v/>
      </c>
      <c r="M177" s="20" t="n">
        <v>0.7</v>
      </c>
      <c r="N177" s="19">
        <f>L177*(1+M177)</f>
        <v/>
      </c>
      <c r="O177" s="21" t="inlineStr"/>
    </row>
    <row r="178">
      <c r="A178" s="15" t="inlineStr">
        <is>
          <t>Alça Vazada</t>
        </is>
      </c>
      <c r="B178" s="16" t="inlineStr">
        <is>
          <t>20x30</t>
        </is>
      </c>
      <c r="C178" s="16" t="inlineStr">
        <is>
          <t>0,08</t>
        </is>
      </c>
      <c r="D178" s="16" t="inlineStr">
        <is>
          <t>400–499</t>
        </is>
      </c>
      <c r="E178" s="16" t="n">
        <v>400</v>
      </c>
      <c r="F178" s="17" t="n">
        <v>0.171</v>
      </c>
      <c r="G178" s="17" t="n">
        <v>0.1219</v>
      </c>
      <c r="H178" s="17" t="n">
        <v>0.171</v>
      </c>
      <c r="I178" s="18" t="inlineStr">
        <is>
          <t>Marfel</t>
        </is>
      </c>
      <c r="J178" s="17" t="n">
        <v>0.3</v>
      </c>
      <c r="K178" s="19">
        <f>J178*E178</f>
        <v/>
      </c>
      <c r="L178" s="19">
        <f>H178+J178</f>
        <v/>
      </c>
      <c r="M178" s="20" t="n">
        <v>0.65</v>
      </c>
      <c r="N178" s="19">
        <f>L178*(1+M178)</f>
        <v/>
      </c>
      <c r="O178" s="21" t="inlineStr"/>
    </row>
    <row r="179">
      <c r="A179" s="15" t="inlineStr">
        <is>
          <t>Alça Vazada</t>
        </is>
      </c>
      <c r="B179" s="16" t="inlineStr">
        <is>
          <t>20x30</t>
        </is>
      </c>
      <c r="C179" s="16" t="inlineStr">
        <is>
          <t>0,08</t>
        </is>
      </c>
      <c r="D179" s="16" t="inlineStr">
        <is>
          <t>500–599</t>
        </is>
      </c>
      <c r="E179" s="16" t="n">
        <v>500</v>
      </c>
      <c r="F179" s="17" t="n">
        <v>0.171</v>
      </c>
      <c r="G179" s="17" t="n">
        <v>0.1219</v>
      </c>
      <c r="H179" s="17" t="n">
        <v>0.171</v>
      </c>
      <c r="I179" s="18" t="inlineStr">
        <is>
          <t>Marfel</t>
        </is>
      </c>
      <c r="J179" s="17" t="n">
        <v>0.3</v>
      </c>
      <c r="K179" s="19">
        <f>J179*E179</f>
        <v/>
      </c>
      <c r="L179" s="19">
        <f>H179+J179</f>
        <v/>
      </c>
      <c r="M179" s="20" t="n">
        <v>0.6</v>
      </c>
      <c r="N179" s="19">
        <f>L179*(1+M179)</f>
        <v/>
      </c>
      <c r="O179" s="21" t="inlineStr"/>
    </row>
    <row r="180">
      <c r="A180" s="15" t="inlineStr">
        <is>
          <t>Alça Vazada</t>
        </is>
      </c>
      <c r="B180" s="16" t="inlineStr">
        <is>
          <t>20x30</t>
        </is>
      </c>
      <c r="C180" s="16" t="inlineStr">
        <is>
          <t>0,08</t>
        </is>
      </c>
      <c r="D180" s="16" t="inlineStr">
        <is>
          <t>600–699</t>
        </is>
      </c>
      <c r="E180" s="16" t="n">
        <v>600</v>
      </c>
      <c r="F180" s="17" t="n">
        <v>0.171</v>
      </c>
      <c r="G180" s="17" t="n">
        <v>0.1219</v>
      </c>
      <c r="H180" s="17" t="n">
        <v>0.171</v>
      </c>
      <c r="I180" s="18" t="inlineStr">
        <is>
          <t>Marfel</t>
        </is>
      </c>
      <c r="J180" s="17" t="n">
        <v>0.3</v>
      </c>
      <c r="K180" s="19">
        <f>J180*E180</f>
        <v/>
      </c>
      <c r="L180" s="19">
        <f>H180+J180</f>
        <v/>
      </c>
      <c r="M180" s="20" t="n">
        <v>0.57</v>
      </c>
      <c r="N180" s="19">
        <f>L180*(1+M180)</f>
        <v/>
      </c>
      <c r="O180" s="21" t="inlineStr"/>
    </row>
    <row r="181">
      <c r="A181" s="15" t="inlineStr">
        <is>
          <t>Alça Vazada</t>
        </is>
      </c>
      <c r="B181" s="16" t="inlineStr">
        <is>
          <t>20x30</t>
        </is>
      </c>
      <c r="C181" s="16" t="inlineStr">
        <is>
          <t>0,08</t>
        </is>
      </c>
      <c r="D181" s="16" t="inlineStr">
        <is>
          <t>700–799</t>
        </is>
      </c>
      <c r="E181" s="16" t="n">
        <v>700</v>
      </c>
      <c r="F181" s="17" t="n">
        <v>0.171</v>
      </c>
      <c r="G181" s="17" t="n">
        <v>0.1219</v>
      </c>
      <c r="H181" s="17" t="n">
        <v>0.171</v>
      </c>
      <c r="I181" s="18" t="inlineStr">
        <is>
          <t>Marfel</t>
        </is>
      </c>
      <c r="J181" s="17" t="n">
        <v>0.3</v>
      </c>
      <c r="K181" s="19">
        <f>J181*E181</f>
        <v/>
      </c>
      <c r="L181" s="19">
        <f>H181+J181</f>
        <v/>
      </c>
      <c r="M181" s="20" t="n">
        <v>0.54</v>
      </c>
      <c r="N181" s="19">
        <f>L181*(1+M181)</f>
        <v/>
      </c>
      <c r="O181" s="21" t="inlineStr"/>
    </row>
    <row r="182">
      <c r="A182" s="15" t="inlineStr">
        <is>
          <t>Alça Vazada</t>
        </is>
      </c>
      <c r="B182" s="16" t="inlineStr">
        <is>
          <t>20x30</t>
        </is>
      </c>
      <c r="C182" s="16" t="inlineStr">
        <is>
          <t>0,08</t>
        </is>
      </c>
      <c r="D182" s="16" t="inlineStr">
        <is>
          <t>800–899</t>
        </is>
      </c>
      <c r="E182" s="16" t="n">
        <v>800</v>
      </c>
      <c r="F182" s="17" t="n">
        <v>0.171</v>
      </c>
      <c r="G182" s="17" t="n">
        <v>0.1219</v>
      </c>
      <c r="H182" s="17" t="n">
        <v>0.171</v>
      </c>
      <c r="I182" s="18" t="inlineStr">
        <is>
          <t>Marfel</t>
        </is>
      </c>
      <c r="J182" s="17" t="n">
        <v>0.3</v>
      </c>
      <c r="K182" s="19">
        <f>J182*E182</f>
        <v/>
      </c>
      <c r="L182" s="19">
        <f>H182+J182</f>
        <v/>
      </c>
      <c r="M182" s="20" t="n">
        <v>0.51</v>
      </c>
      <c r="N182" s="19">
        <f>L182*(1+M182)</f>
        <v/>
      </c>
      <c r="O182" s="21" t="inlineStr"/>
    </row>
    <row r="183">
      <c r="A183" s="15" t="inlineStr">
        <is>
          <t>Alça Vazada</t>
        </is>
      </c>
      <c r="B183" s="16" t="inlineStr">
        <is>
          <t>20x30</t>
        </is>
      </c>
      <c r="C183" s="16" t="inlineStr">
        <is>
          <t>0,08</t>
        </is>
      </c>
      <c r="D183" s="16" t="inlineStr">
        <is>
          <t>900–999</t>
        </is>
      </c>
      <c r="E183" s="16" t="n">
        <v>900</v>
      </c>
      <c r="F183" s="17" t="n">
        <v>0.171</v>
      </c>
      <c r="G183" s="17" t="n">
        <v>0.1219</v>
      </c>
      <c r="H183" s="17" t="n">
        <v>0.171</v>
      </c>
      <c r="I183" s="18" t="inlineStr">
        <is>
          <t>Marfel</t>
        </is>
      </c>
      <c r="J183" s="17" t="n">
        <v>0.3</v>
      </c>
      <c r="K183" s="19">
        <f>J183*E183</f>
        <v/>
      </c>
      <c r="L183" s="19">
        <f>H183+J183</f>
        <v/>
      </c>
      <c r="M183" s="20" t="n">
        <v>0.48</v>
      </c>
      <c r="N183" s="19">
        <f>L183*(1+M183)</f>
        <v/>
      </c>
      <c r="O183" s="21" t="inlineStr"/>
    </row>
    <row r="184">
      <c r="A184" s="15" t="inlineStr">
        <is>
          <t>Alça Vazada</t>
        </is>
      </c>
      <c r="B184" s="16" t="inlineStr">
        <is>
          <t>20x30</t>
        </is>
      </c>
      <c r="C184" s="16" t="inlineStr">
        <is>
          <t>0,08</t>
        </is>
      </c>
      <c r="D184" s="16" t="inlineStr">
        <is>
          <t>1000+</t>
        </is>
      </c>
      <c r="E184" s="16" t="n">
        <v>1000</v>
      </c>
      <c r="F184" s="17" t="n">
        <v>0.171</v>
      </c>
      <c r="G184" s="17" t="n">
        <v>0.1219</v>
      </c>
      <c r="H184" s="17" t="n">
        <v>0.171</v>
      </c>
      <c r="I184" s="18" t="inlineStr">
        <is>
          <t>Marfel</t>
        </is>
      </c>
      <c r="J184" s="17" t="n">
        <v>0.3</v>
      </c>
      <c r="K184" s="19">
        <f>J184*E184</f>
        <v/>
      </c>
      <c r="L184" s="19">
        <f>H184+J184</f>
        <v/>
      </c>
      <c r="M184" s="20" t="n">
        <v>0.4</v>
      </c>
      <c r="N184" s="19">
        <f>L184*(1+M184)</f>
        <v/>
      </c>
      <c r="O184" s="21" t="inlineStr"/>
    </row>
    <row r="185">
      <c r="A185" s="15" t="inlineStr">
        <is>
          <t>Alça Vazada</t>
        </is>
      </c>
      <c r="B185" s="16" t="inlineStr">
        <is>
          <t>25x35</t>
        </is>
      </c>
      <c r="C185" s="16" t="inlineStr">
        <is>
          <t>0,08</t>
        </is>
      </c>
      <c r="D185" s="16" t="inlineStr">
        <is>
          <t>100–199</t>
        </is>
      </c>
      <c r="E185" s="16" t="n">
        <v>100</v>
      </c>
      <c r="F185" s="17" t="n">
        <v>0.2394</v>
      </c>
      <c r="G185" s="17" t="n">
        <v>0.1855</v>
      </c>
      <c r="H185" s="17" t="n">
        <v>0.2394</v>
      </c>
      <c r="I185" s="18" t="inlineStr">
        <is>
          <t>Marfel</t>
        </is>
      </c>
      <c r="J185" s="17" t="n">
        <v>0.3</v>
      </c>
      <c r="K185" s="19">
        <f>J185*E185</f>
        <v/>
      </c>
      <c r="L185" s="19">
        <f>H185+J185</f>
        <v/>
      </c>
      <c r="M185" s="20" t="n">
        <v>1</v>
      </c>
      <c r="N185" s="19">
        <f>L185*(1+M185)</f>
        <v/>
      </c>
      <c r="O185" s="21" t="inlineStr"/>
    </row>
    <row r="186">
      <c r="A186" s="15" t="inlineStr">
        <is>
          <t>Alça Vazada</t>
        </is>
      </c>
      <c r="B186" s="16" t="inlineStr">
        <is>
          <t>25x35</t>
        </is>
      </c>
      <c r="C186" s="16" t="inlineStr">
        <is>
          <t>0,08</t>
        </is>
      </c>
      <c r="D186" s="16" t="inlineStr">
        <is>
          <t>200–299</t>
        </is>
      </c>
      <c r="E186" s="16" t="n">
        <v>200</v>
      </c>
      <c r="F186" s="17" t="n">
        <v>0.2394</v>
      </c>
      <c r="G186" s="17" t="n">
        <v>0.1855</v>
      </c>
      <c r="H186" s="17" t="n">
        <v>0.2394</v>
      </c>
      <c r="I186" s="18" t="inlineStr">
        <is>
          <t>Marfel</t>
        </is>
      </c>
      <c r="J186" s="17" t="n">
        <v>0.3</v>
      </c>
      <c r="K186" s="19">
        <f>J186*E186</f>
        <v/>
      </c>
      <c r="L186" s="19">
        <f>H186+J186</f>
        <v/>
      </c>
      <c r="M186" s="20" t="n">
        <v>0.75</v>
      </c>
      <c r="N186" s="19">
        <f>L186*(1+M186)</f>
        <v/>
      </c>
      <c r="O186" s="21" t="inlineStr"/>
    </row>
    <row r="187">
      <c r="A187" s="15" t="inlineStr">
        <is>
          <t>Alça Vazada</t>
        </is>
      </c>
      <c r="B187" s="16" t="inlineStr">
        <is>
          <t>25x35</t>
        </is>
      </c>
      <c r="C187" s="16" t="inlineStr">
        <is>
          <t>0,08</t>
        </is>
      </c>
      <c r="D187" s="16" t="inlineStr">
        <is>
          <t>300–399</t>
        </is>
      </c>
      <c r="E187" s="16" t="n">
        <v>300</v>
      </c>
      <c r="F187" s="17" t="n">
        <v>0.2394</v>
      </c>
      <c r="G187" s="17" t="n">
        <v>0.1855</v>
      </c>
      <c r="H187" s="17" t="n">
        <v>0.2394</v>
      </c>
      <c r="I187" s="18" t="inlineStr">
        <is>
          <t>Marfel</t>
        </is>
      </c>
      <c r="J187" s="17" t="n">
        <v>0.3</v>
      </c>
      <c r="K187" s="19">
        <f>J187*E187</f>
        <v/>
      </c>
      <c r="L187" s="19">
        <f>H187+J187</f>
        <v/>
      </c>
      <c r="M187" s="20" t="n">
        <v>0.7</v>
      </c>
      <c r="N187" s="19">
        <f>L187*(1+M187)</f>
        <v/>
      </c>
      <c r="O187" s="21" t="inlineStr"/>
    </row>
    <row r="188">
      <c r="A188" s="15" t="inlineStr">
        <is>
          <t>Alça Vazada</t>
        </is>
      </c>
      <c r="B188" s="16" t="inlineStr">
        <is>
          <t>25x35</t>
        </is>
      </c>
      <c r="C188" s="16" t="inlineStr">
        <is>
          <t>0,08</t>
        </is>
      </c>
      <c r="D188" s="16" t="inlineStr">
        <is>
          <t>400–499</t>
        </is>
      </c>
      <c r="E188" s="16" t="n">
        <v>400</v>
      </c>
      <c r="F188" s="17" t="n">
        <v>0.2394</v>
      </c>
      <c r="G188" s="17" t="n">
        <v>0.1855</v>
      </c>
      <c r="H188" s="17" t="n">
        <v>0.2394</v>
      </c>
      <c r="I188" s="18" t="inlineStr">
        <is>
          <t>Marfel</t>
        </is>
      </c>
      <c r="J188" s="17" t="n">
        <v>0.3</v>
      </c>
      <c r="K188" s="19">
        <f>J188*E188</f>
        <v/>
      </c>
      <c r="L188" s="19">
        <f>H188+J188</f>
        <v/>
      </c>
      <c r="M188" s="20" t="n">
        <v>0.65</v>
      </c>
      <c r="N188" s="19">
        <f>L188*(1+M188)</f>
        <v/>
      </c>
      <c r="O188" s="21" t="inlineStr"/>
    </row>
    <row r="189">
      <c r="A189" s="15" t="inlineStr">
        <is>
          <t>Alça Vazada</t>
        </is>
      </c>
      <c r="B189" s="16" t="inlineStr">
        <is>
          <t>25x35</t>
        </is>
      </c>
      <c r="C189" s="16" t="inlineStr">
        <is>
          <t>0,08</t>
        </is>
      </c>
      <c r="D189" s="16" t="inlineStr">
        <is>
          <t>500–599</t>
        </is>
      </c>
      <c r="E189" s="16" t="n">
        <v>500</v>
      </c>
      <c r="F189" s="17" t="n">
        <v>0.2394</v>
      </c>
      <c r="G189" s="17" t="n">
        <v>0.1855</v>
      </c>
      <c r="H189" s="17" t="n">
        <v>0.2394</v>
      </c>
      <c r="I189" s="18" t="inlineStr">
        <is>
          <t>Marfel</t>
        </is>
      </c>
      <c r="J189" s="17" t="n">
        <v>0.3</v>
      </c>
      <c r="K189" s="19">
        <f>J189*E189</f>
        <v/>
      </c>
      <c r="L189" s="19">
        <f>H189+J189</f>
        <v/>
      </c>
      <c r="M189" s="20" t="n">
        <v>0.6</v>
      </c>
      <c r="N189" s="19">
        <f>L189*(1+M189)</f>
        <v/>
      </c>
      <c r="O189" s="21" t="inlineStr"/>
    </row>
    <row r="190">
      <c r="A190" s="15" t="inlineStr">
        <is>
          <t>Alça Vazada</t>
        </is>
      </c>
      <c r="B190" s="16" t="inlineStr">
        <is>
          <t>25x35</t>
        </is>
      </c>
      <c r="C190" s="16" t="inlineStr">
        <is>
          <t>0,08</t>
        </is>
      </c>
      <c r="D190" s="16" t="inlineStr">
        <is>
          <t>600–699</t>
        </is>
      </c>
      <c r="E190" s="16" t="n">
        <v>600</v>
      </c>
      <c r="F190" s="17" t="n">
        <v>0.2394</v>
      </c>
      <c r="G190" s="17" t="n">
        <v>0.1855</v>
      </c>
      <c r="H190" s="17" t="n">
        <v>0.2394</v>
      </c>
      <c r="I190" s="18" t="inlineStr">
        <is>
          <t>Marfel</t>
        </is>
      </c>
      <c r="J190" s="17" t="n">
        <v>0.3</v>
      </c>
      <c r="K190" s="19">
        <f>J190*E190</f>
        <v/>
      </c>
      <c r="L190" s="19">
        <f>H190+J190</f>
        <v/>
      </c>
      <c r="M190" s="20" t="n">
        <v>0.57</v>
      </c>
      <c r="N190" s="19">
        <f>L190*(1+M190)</f>
        <v/>
      </c>
      <c r="O190" s="21" t="inlineStr"/>
    </row>
    <row r="191">
      <c r="A191" s="15" t="inlineStr">
        <is>
          <t>Alça Vazada</t>
        </is>
      </c>
      <c r="B191" s="16" t="inlineStr">
        <is>
          <t>25x35</t>
        </is>
      </c>
      <c r="C191" s="16" t="inlineStr">
        <is>
          <t>0,08</t>
        </is>
      </c>
      <c r="D191" s="16" t="inlineStr">
        <is>
          <t>700–799</t>
        </is>
      </c>
      <c r="E191" s="16" t="n">
        <v>700</v>
      </c>
      <c r="F191" s="17" t="n">
        <v>0.2394</v>
      </c>
      <c r="G191" s="17" t="n">
        <v>0.1855</v>
      </c>
      <c r="H191" s="17" t="n">
        <v>0.2394</v>
      </c>
      <c r="I191" s="18" t="inlineStr">
        <is>
          <t>Marfel</t>
        </is>
      </c>
      <c r="J191" s="17" t="n">
        <v>0.3</v>
      </c>
      <c r="K191" s="19">
        <f>J191*E191</f>
        <v/>
      </c>
      <c r="L191" s="19">
        <f>H191+J191</f>
        <v/>
      </c>
      <c r="M191" s="20" t="n">
        <v>0.54</v>
      </c>
      <c r="N191" s="19">
        <f>L191*(1+M191)</f>
        <v/>
      </c>
      <c r="O191" s="21" t="inlineStr"/>
    </row>
    <row r="192">
      <c r="A192" s="15" t="inlineStr">
        <is>
          <t>Alça Vazada</t>
        </is>
      </c>
      <c r="B192" s="16" t="inlineStr">
        <is>
          <t>25x35</t>
        </is>
      </c>
      <c r="C192" s="16" t="inlineStr">
        <is>
          <t>0,08</t>
        </is>
      </c>
      <c r="D192" s="16" t="inlineStr">
        <is>
          <t>800–899</t>
        </is>
      </c>
      <c r="E192" s="16" t="n">
        <v>800</v>
      </c>
      <c r="F192" s="17" t="n">
        <v>0.2394</v>
      </c>
      <c r="G192" s="17" t="n">
        <v>0.1855</v>
      </c>
      <c r="H192" s="17" t="n">
        <v>0.2394</v>
      </c>
      <c r="I192" s="18" t="inlineStr">
        <is>
          <t>Marfel</t>
        </is>
      </c>
      <c r="J192" s="17" t="n">
        <v>0.3</v>
      </c>
      <c r="K192" s="19">
        <f>J192*E192</f>
        <v/>
      </c>
      <c r="L192" s="19">
        <f>H192+J192</f>
        <v/>
      </c>
      <c r="M192" s="20" t="n">
        <v>0.51</v>
      </c>
      <c r="N192" s="19">
        <f>L192*(1+M192)</f>
        <v/>
      </c>
      <c r="O192" s="21" t="inlineStr"/>
    </row>
    <row r="193">
      <c r="A193" s="15" t="inlineStr">
        <is>
          <t>Alça Vazada</t>
        </is>
      </c>
      <c r="B193" s="16" t="inlineStr">
        <is>
          <t>25x35</t>
        </is>
      </c>
      <c r="C193" s="16" t="inlineStr">
        <is>
          <t>0,08</t>
        </is>
      </c>
      <c r="D193" s="16" t="inlineStr">
        <is>
          <t>900–999</t>
        </is>
      </c>
      <c r="E193" s="16" t="n">
        <v>900</v>
      </c>
      <c r="F193" s="17" t="n">
        <v>0.2394</v>
      </c>
      <c r="G193" s="17" t="n">
        <v>0.1855</v>
      </c>
      <c r="H193" s="17" t="n">
        <v>0.2394</v>
      </c>
      <c r="I193" s="18" t="inlineStr">
        <is>
          <t>Marfel</t>
        </is>
      </c>
      <c r="J193" s="17" t="n">
        <v>0.3</v>
      </c>
      <c r="K193" s="19">
        <f>J193*E193</f>
        <v/>
      </c>
      <c r="L193" s="19">
        <f>H193+J193</f>
        <v/>
      </c>
      <c r="M193" s="20" t="n">
        <v>0.48</v>
      </c>
      <c r="N193" s="19">
        <f>L193*(1+M193)</f>
        <v/>
      </c>
      <c r="O193" s="21" t="inlineStr"/>
    </row>
    <row r="194">
      <c r="A194" s="15" t="inlineStr">
        <is>
          <t>Alça Vazada</t>
        </is>
      </c>
      <c r="B194" s="16" t="inlineStr">
        <is>
          <t>25x35</t>
        </is>
      </c>
      <c r="C194" s="16" t="inlineStr">
        <is>
          <t>0,08</t>
        </is>
      </c>
      <c r="D194" s="16" t="inlineStr">
        <is>
          <t>1000+</t>
        </is>
      </c>
      <c r="E194" s="16" t="n">
        <v>1000</v>
      </c>
      <c r="F194" s="17" t="n">
        <v>0.2394</v>
      </c>
      <c r="G194" s="17" t="n">
        <v>0.1855</v>
      </c>
      <c r="H194" s="17" t="n">
        <v>0.2394</v>
      </c>
      <c r="I194" s="18" t="inlineStr">
        <is>
          <t>Marfel</t>
        </is>
      </c>
      <c r="J194" s="17" t="n">
        <v>0.3</v>
      </c>
      <c r="K194" s="19">
        <f>J194*E194</f>
        <v/>
      </c>
      <c r="L194" s="19">
        <f>H194+J194</f>
        <v/>
      </c>
      <c r="M194" s="20" t="n">
        <v>0.4</v>
      </c>
      <c r="N194" s="19">
        <f>L194*(1+M194)</f>
        <v/>
      </c>
      <c r="O194" s="21" t="inlineStr"/>
    </row>
    <row r="195">
      <c r="A195" s="15" t="inlineStr">
        <is>
          <t>Alça Vazada</t>
        </is>
      </c>
      <c r="B195" s="16" t="inlineStr">
        <is>
          <t>30x40</t>
        </is>
      </c>
      <c r="C195" s="16" t="inlineStr">
        <is>
          <t>0,08</t>
        </is>
      </c>
      <c r="D195" s="16" t="inlineStr">
        <is>
          <t>100–199</t>
        </is>
      </c>
      <c r="E195" s="16" t="n">
        <v>100</v>
      </c>
      <c r="F195" s="17" t="n">
        <v>0.342</v>
      </c>
      <c r="G195" s="17" t="n">
        <v>0.265</v>
      </c>
      <c r="H195" s="17" t="n">
        <v>0.342</v>
      </c>
      <c r="I195" s="18" t="inlineStr">
        <is>
          <t>Marfel</t>
        </is>
      </c>
      <c r="J195" s="17" t="n">
        <v>0.3</v>
      </c>
      <c r="K195" s="19">
        <f>J195*E195</f>
        <v/>
      </c>
      <c r="L195" s="19">
        <f>H195+J195</f>
        <v/>
      </c>
      <c r="M195" s="20" t="n">
        <v>1</v>
      </c>
      <c r="N195" s="19">
        <f>L195*(1+M195)</f>
        <v/>
      </c>
      <c r="O195" s="21" t="inlineStr"/>
    </row>
    <row r="196">
      <c r="A196" s="15" t="inlineStr">
        <is>
          <t>Alça Vazada</t>
        </is>
      </c>
      <c r="B196" s="16" t="inlineStr">
        <is>
          <t>30x40</t>
        </is>
      </c>
      <c r="C196" s="16" t="inlineStr">
        <is>
          <t>0,08</t>
        </is>
      </c>
      <c r="D196" s="16" t="inlineStr">
        <is>
          <t>200–299</t>
        </is>
      </c>
      <c r="E196" s="16" t="n">
        <v>200</v>
      </c>
      <c r="F196" s="17" t="n">
        <v>0.342</v>
      </c>
      <c r="G196" s="17" t="n">
        <v>0.265</v>
      </c>
      <c r="H196" s="17" t="n">
        <v>0.342</v>
      </c>
      <c r="I196" s="18" t="inlineStr">
        <is>
          <t>Marfel</t>
        </is>
      </c>
      <c r="J196" s="17" t="n">
        <v>0.3</v>
      </c>
      <c r="K196" s="19">
        <f>J196*E196</f>
        <v/>
      </c>
      <c r="L196" s="19">
        <f>H196+J196</f>
        <v/>
      </c>
      <c r="M196" s="20" t="n">
        <v>0.75</v>
      </c>
      <c r="N196" s="19">
        <f>L196*(1+M196)</f>
        <v/>
      </c>
      <c r="O196" s="21" t="inlineStr"/>
    </row>
    <row r="197">
      <c r="A197" s="15" t="inlineStr">
        <is>
          <t>Alça Vazada</t>
        </is>
      </c>
      <c r="B197" s="16" t="inlineStr">
        <is>
          <t>30x40</t>
        </is>
      </c>
      <c r="C197" s="16" t="inlineStr">
        <is>
          <t>0,08</t>
        </is>
      </c>
      <c r="D197" s="16" t="inlineStr">
        <is>
          <t>300–399</t>
        </is>
      </c>
      <c r="E197" s="16" t="n">
        <v>300</v>
      </c>
      <c r="F197" s="17" t="n">
        <v>0.342</v>
      </c>
      <c r="G197" s="17" t="n">
        <v>0.265</v>
      </c>
      <c r="H197" s="17" t="n">
        <v>0.342</v>
      </c>
      <c r="I197" s="18" t="inlineStr">
        <is>
          <t>Marfel</t>
        </is>
      </c>
      <c r="J197" s="17" t="n">
        <v>0.3</v>
      </c>
      <c r="K197" s="19">
        <f>J197*E197</f>
        <v/>
      </c>
      <c r="L197" s="19">
        <f>H197+J197</f>
        <v/>
      </c>
      <c r="M197" s="20" t="n">
        <v>0.7</v>
      </c>
      <c r="N197" s="19">
        <f>L197*(1+M197)</f>
        <v/>
      </c>
      <c r="O197" s="21" t="inlineStr"/>
    </row>
    <row r="198">
      <c r="A198" s="15" t="inlineStr">
        <is>
          <t>Alça Vazada</t>
        </is>
      </c>
      <c r="B198" s="16" t="inlineStr">
        <is>
          <t>30x40</t>
        </is>
      </c>
      <c r="C198" s="16" t="inlineStr">
        <is>
          <t>0,08</t>
        </is>
      </c>
      <c r="D198" s="16" t="inlineStr">
        <is>
          <t>400–499</t>
        </is>
      </c>
      <c r="E198" s="16" t="n">
        <v>400</v>
      </c>
      <c r="F198" s="17" t="n">
        <v>0.342</v>
      </c>
      <c r="G198" s="17" t="n">
        <v>0.265</v>
      </c>
      <c r="H198" s="17" t="n">
        <v>0.342</v>
      </c>
      <c r="I198" s="18" t="inlineStr">
        <is>
          <t>Marfel</t>
        </is>
      </c>
      <c r="J198" s="17" t="n">
        <v>0.3</v>
      </c>
      <c r="K198" s="19">
        <f>J198*E198</f>
        <v/>
      </c>
      <c r="L198" s="19">
        <f>H198+J198</f>
        <v/>
      </c>
      <c r="M198" s="20" t="n">
        <v>0.65</v>
      </c>
      <c r="N198" s="19">
        <f>L198*(1+M198)</f>
        <v/>
      </c>
      <c r="O198" s="21" t="inlineStr"/>
    </row>
    <row r="199">
      <c r="A199" s="15" t="inlineStr">
        <is>
          <t>Alça Vazada</t>
        </is>
      </c>
      <c r="B199" s="16" t="inlineStr">
        <is>
          <t>30x40</t>
        </is>
      </c>
      <c r="C199" s="16" t="inlineStr">
        <is>
          <t>0,08</t>
        </is>
      </c>
      <c r="D199" s="16" t="inlineStr">
        <is>
          <t>500–599</t>
        </is>
      </c>
      <c r="E199" s="16" t="n">
        <v>500</v>
      </c>
      <c r="F199" s="17" t="n">
        <v>0.342</v>
      </c>
      <c r="G199" s="17" t="n">
        <v>0.265</v>
      </c>
      <c r="H199" s="17" t="n">
        <v>0.342</v>
      </c>
      <c r="I199" s="18" t="inlineStr">
        <is>
          <t>Marfel</t>
        </is>
      </c>
      <c r="J199" s="17" t="n">
        <v>0.3</v>
      </c>
      <c r="K199" s="19">
        <f>J199*E199</f>
        <v/>
      </c>
      <c r="L199" s="19">
        <f>H199+J199</f>
        <v/>
      </c>
      <c r="M199" s="20" t="n">
        <v>0.6</v>
      </c>
      <c r="N199" s="19">
        <f>L199*(1+M199)</f>
        <v/>
      </c>
      <c r="O199" s="21" t="inlineStr"/>
    </row>
    <row r="200">
      <c r="A200" s="15" t="inlineStr">
        <is>
          <t>Alça Vazada</t>
        </is>
      </c>
      <c r="B200" s="16" t="inlineStr">
        <is>
          <t>30x40</t>
        </is>
      </c>
      <c r="C200" s="16" t="inlineStr">
        <is>
          <t>0,08</t>
        </is>
      </c>
      <c r="D200" s="16" t="inlineStr">
        <is>
          <t>600–699</t>
        </is>
      </c>
      <c r="E200" s="16" t="n">
        <v>600</v>
      </c>
      <c r="F200" s="17" t="n">
        <v>0.342</v>
      </c>
      <c r="G200" s="17" t="n">
        <v>0.265</v>
      </c>
      <c r="H200" s="17" t="n">
        <v>0.342</v>
      </c>
      <c r="I200" s="18" t="inlineStr">
        <is>
          <t>Marfel</t>
        </is>
      </c>
      <c r="J200" s="17" t="n">
        <v>0.3</v>
      </c>
      <c r="K200" s="19">
        <f>J200*E200</f>
        <v/>
      </c>
      <c r="L200" s="19">
        <f>H200+J200</f>
        <v/>
      </c>
      <c r="M200" s="20" t="n">
        <v>0.57</v>
      </c>
      <c r="N200" s="19">
        <f>L200*(1+M200)</f>
        <v/>
      </c>
      <c r="O200" s="21" t="inlineStr"/>
    </row>
    <row r="201">
      <c r="A201" s="15" t="inlineStr">
        <is>
          <t>Alça Vazada</t>
        </is>
      </c>
      <c r="B201" s="16" t="inlineStr">
        <is>
          <t>30x40</t>
        </is>
      </c>
      <c r="C201" s="16" t="inlineStr">
        <is>
          <t>0,08</t>
        </is>
      </c>
      <c r="D201" s="16" t="inlineStr">
        <is>
          <t>700–799</t>
        </is>
      </c>
      <c r="E201" s="16" t="n">
        <v>700</v>
      </c>
      <c r="F201" s="17" t="n">
        <v>0.342</v>
      </c>
      <c r="G201" s="17" t="n">
        <v>0.265</v>
      </c>
      <c r="H201" s="17" t="n">
        <v>0.342</v>
      </c>
      <c r="I201" s="18" t="inlineStr">
        <is>
          <t>Marfel</t>
        </is>
      </c>
      <c r="J201" s="17" t="n">
        <v>0.3</v>
      </c>
      <c r="K201" s="19">
        <f>J201*E201</f>
        <v/>
      </c>
      <c r="L201" s="19">
        <f>H201+J201</f>
        <v/>
      </c>
      <c r="M201" s="20" t="n">
        <v>0.54</v>
      </c>
      <c r="N201" s="19">
        <f>L201*(1+M201)</f>
        <v/>
      </c>
      <c r="O201" s="21" t="inlineStr"/>
    </row>
    <row r="202">
      <c r="A202" s="15" t="inlineStr">
        <is>
          <t>Alça Vazada</t>
        </is>
      </c>
      <c r="B202" s="16" t="inlineStr">
        <is>
          <t>30x40</t>
        </is>
      </c>
      <c r="C202" s="16" t="inlineStr">
        <is>
          <t>0,08</t>
        </is>
      </c>
      <c r="D202" s="16" t="inlineStr">
        <is>
          <t>800–899</t>
        </is>
      </c>
      <c r="E202" s="16" t="n">
        <v>800</v>
      </c>
      <c r="F202" s="17" t="n">
        <v>0.342</v>
      </c>
      <c r="G202" s="17" t="n">
        <v>0.265</v>
      </c>
      <c r="H202" s="17" t="n">
        <v>0.342</v>
      </c>
      <c r="I202" s="18" t="inlineStr">
        <is>
          <t>Marfel</t>
        </is>
      </c>
      <c r="J202" s="17" t="n">
        <v>0.3</v>
      </c>
      <c r="K202" s="19">
        <f>J202*E202</f>
        <v/>
      </c>
      <c r="L202" s="19">
        <f>H202+J202</f>
        <v/>
      </c>
      <c r="M202" s="20" t="n">
        <v>0.51</v>
      </c>
      <c r="N202" s="19">
        <f>L202*(1+M202)</f>
        <v/>
      </c>
      <c r="O202" s="21" t="inlineStr"/>
    </row>
    <row r="203">
      <c r="A203" s="15" t="inlineStr">
        <is>
          <t>Alça Vazada</t>
        </is>
      </c>
      <c r="B203" s="16" t="inlineStr">
        <is>
          <t>30x40</t>
        </is>
      </c>
      <c r="C203" s="16" t="inlineStr">
        <is>
          <t>0,08</t>
        </is>
      </c>
      <c r="D203" s="16" t="inlineStr">
        <is>
          <t>900–999</t>
        </is>
      </c>
      <c r="E203" s="16" t="n">
        <v>900</v>
      </c>
      <c r="F203" s="17" t="n">
        <v>0.342</v>
      </c>
      <c r="G203" s="17" t="n">
        <v>0.265</v>
      </c>
      <c r="H203" s="17" t="n">
        <v>0.342</v>
      </c>
      <c r="I203" s="18" t="inlineStr">
        <is>
          <t>Marfel</t>
        </is>
      </c>
      <c r="J203" s="17" t="n">
        <v>0.3</v>
      </c>
      <c r="K203" s="19">
        <f>J203*E203</f>
        <v/>
      </c>
      <c r="L203" s="19">
        <f>H203+J203</f>
        <v/>
      </c>
      <c r="M203" s="20" t="n">
        <v>0.48</v>
      </c>
      <c r="N203" s="19">
        <f>L203*(1+M203)</f>
        <v/>
      </c>
      <c r="O203" s="21" t="inlineStr"/>
    </row>
    <row r="204">
      <c r="A204" s="15" t="inlineStr">
        <is>
          <t>Alça Vazada</t>
        </is>
      </c>
      <c r="B204" s="16" t="inlineStr">
        <is>
          <t>30x40</t>
        </is>
      </c>
      <c r="C204" s="16" t="inlineStr">
        <is>
          <t>0,08</t>
        </is>
      </c>
      <c r="D204" s="16" t="inlineStr">
        <is>
          <t>1000+</t>
        </is>
      </c>
      <c r="E204" s="16" t="n">
        <v>1000</v>
      </c>
      <c r="F204" s="17" t="n">
        <v>0.342</v>
      </c>
      <c r="G204" s="17" t="n">
        <v>0.265</v>
      </c>
      <c r="H204" s="17" t="n">
        <v>0.342</v>
      </c>
      <c r="I204" s="18" t="inlineStr">
        <is>
          <t>Marfel</t>
        </is>
      </c>
      <c r="J204" s="17" t="n">
        <v>0.3</v>
      </c>
      <c r="K204" s="19">
        <f>J204*E204</f>
        <v/>
      </c>
      <c r="L204" s="19">
        <f>H204+J204</f>
        <v/>
      </c>
      <c r="M204" s="20" t="n">
        <v>0.4</v>
      </c>
      <c r="N204" s="19">
        <f>L204*(1+M204)</f>
        <v/>
      </c>
      <c r="O204" s="21" t="inlineStr"/>
    </row>
    <row r="205">
      <c r="A205" s="8" t="inlineStr">
        <is>
          <t>Alça Vazada</t>
        </is>
      </c>
      <c r="B205" s="9" t="inlineStr">
        <is>
          <t>40x50</t>
        </is>
      </c>
      <c r="C205" s="9" t="inlineStr">
        <is>
          <t>0,08</t>
        </is>
      </c>
      <c r="D205" s="9" t="inlineStr">
        <is>
          <t>100–199</t>
        </is>
      </c>
      <c r="E205" s="9" t="n">
        <v>100</v>
      </c>
      <c r="F205" s="10" t="n">
        <v>0</v>
      </c>
      <c r="G205" s="10" t="n">
        <v>0.424</v>
      </c>
      <c r="H205" s="10" t="n">
        <v>0.424</v>
      </c>
      <c r="I205" s="11" t="inlineStr">
        <is>
          <t>Alquimia (unico)</t>
        </is>
      </c>
      <c r="J205" s="10" t="n">
        <v>0.3</v>
      </c>
      <c r="K205" s="12">
        <f>J205*E205</f>
        <v/>
      </c>
      <c r="L205" s="12">
        <f>H205+J205</f>
        <v/>
      </c>
      <c r="M205" s="13" t="n">
        <v>1</v>
      </c>
      <c r="N205" s="12">
        <f>L205*(1+M205)</f>
        <v/>
      </c>
      <c r="O205" s="14" t="inlineStr">
        <is>
          <t>Sem custo cadastrado da Marfel para esta gramatura — usado apenas o valor da Alquimia.</t>
        </is>
      </c>
    </row>
    <row r="206">
      <c r="A206" s="8" t="inlineStr">
        <is>
          <t>Alça Vazada</t>
        </is>
      </c>
      <c r="B206" s="9" t="inlineStr">
        <is>
          <t>40x50</t>
        </is>
      </c>
      <c r="C206" s="9" t="inlineStr">
        <is>
          <t>0,08</t>
        </is>
      </c>
      <c r="D206" s="9" t="inlineStr">
        <is>
          <t>200–299</t>
        </is>
      </c>
      <c r="E206" s="9" t="n">
        <v>200</v>
      </c>
      <c r="F206" s="10" t="n">
        <v>0</v>
      </c>
      <c r="G206" s="10" t="n">
        <v>0.424</v>
      </c>
      <c r="H206" s="10" t="n">
        <v>0.424</v>
      </c>
      <c r="I206" s="11" t="inlineStr">
        <is>
          <t>Alquimia (unico)</t>
        </is>
      </c>
      <c r="J206" s="10" t="n">
        <v>0.3</v>
      </c>
      <c r="K206" s="12">
        <f>J206*E206</f>
        <v/>
      </c>
      <c r="L206" s="12">
        <f>H206+J206</f>
        <v/>
      </c>
      <c r="M206" s="13" t="n">
        <v>0.75</v>
      </c>
      <c r="N206" s="12">
        <f>L206*(1+M206)</f>
        <v/>
      </c>
      <c r="O206" s="14" t="inlineStr">
        <is>
          <t>Sem custo cadastrado da Marfel para esta gramatura — usado apenas o valor da Alquimia.</t>
        </is>
      </c>
    </row>
    <row r="207">
      <c r="A207" s="8" t="inlineStr">
        <is>
          <t>Alça Vazada</t>
        </is>
      </c>
      <c r="B207" s="9" t="inlineStr">
        <is>
          <t>40x50</t>
        </is>
      </c>
      <c r="C207" s="9" t="inlineStr">
        <is>
          <t>0,08</t>
        </is>
      </c>
      <c r="D207" s="9" t="inlineStr">
        <is>
          <t>300–399</t>
        </is>
      </c>
      <c r="E207" s="9" t="n">
        <v>300</v>
      </c>
      <c r="F207" s="10" t="n">
        <v>0</v>
      </c>
      <c r="G207" s="10" t="n">
        <v>0.424</v>
      </c>
      <c r="H207" s="10" t="n">
        <v>0.424</v>
      </c>
      <c r="I207" s="11" t="inlineStr">
        <is>
          <t>Alquimia (unico)</t>
        </is>
      </c>
      <c r="J207" s="10" t="n">
        <v>0.3</v>
      </c>
      <c r="K207" s="12">
        <f>J207*E207</f>
        <v/>
      </c>
      <c r="L207" s="12">
        <f>H207+J207</f>
        <v/>
      </c>
      <c r="M207" s="13" t="n">
        <v>0.7</v>
      </c>
      <c r="N207" s="12">
        <f>L207*(1+M207)</f>
        <v/>
      </c>
      <c r="O207" s="14" t="inlineStr">
        <is>
          <t>Sem custo cadastrado da Marfel para esta gramatura — usado apenas o valor da Alquimia.</t>
        </is>
      </c>
    </row>
    <row r="208">
      <c r="A208" s="8" t="inlineStr">
        <is>
          <t>Alça Vazada</t>
        </is>
      </c>
      <c r="B208" s="9" t="inlineStr">
        <is>
          <t>40x50</t>
        </is>
      </c>
      <c r="C208" s="9" t="inlineStr">
        <is>
          <t>0,08</t>
        </is>
      </c>
      <c r="D208" s="9" t="inlineStr">
        <is>
          <t>400–499</t>
        </is>
      </c>
      <c r="E208" s="9" t="n">
        <v>400</v>
      </c>
      <c r="F208" s="10" t="n">
        <v>0</v>
      </c>
      <c r="G208" s="10" t="n">
        <v>0.424</v>
      </c>
      <c r="H208" s="10" t="n">
        <v>0.424</v>
      </c>
      <c r="I208" s="11" t="inlineStr">
        <is>
          <t>Alquimia (unico)</t>
        </is>
      </c>
      <c r="J208" s="10" t="n">
        <v>0.3</v>
      </c>
      <c r="K208" s="12">
        <f>J208*E208</f>
        <v/>
      </c>
      <c r="L208" s="12">
        <f>H208+J208</f>
        <v/>
      </c>
      <c r="M208" s="13" t="n">
        <v>0.65</v>
      </c>
      <c r="N208" s="12">
        <f>L208*(1+M208)</f>
        <v/>
      </c>
      <c r="O208" s="14" t="inlineStr">
        <is>
          <t>Sem custo cadastrado da Marfel para esta gramatura — usado apenas o valor da Alquimia.</t>
        </is>
      </c>
    </row>
    <row r="209">
      <c r="A209" s="8" t="inlineStr">
        <is>
          <t>Alça Vazada</t>
        </is>
      </c>
      <c r="B209" s="9" t="inlineStr">
        <is>
          <t>40x50</t>
        </is>
      </c>
      <c r="C209" s="9" t="inlineStr">
        <is>
          <t>0,08</t>
        </is>
      </c>
      <c r="D209" s="9" t="inlineStr">
        <is>
          <t>500–599</t>
        </is>
      </c>
      <c r="E209" s="9" t="n">
        <v>500</v>
      </c>
      <c r="F209" s="10" t="n">
        <v>0</v>
      </c>
      <c r="G209" s="10" t="n">
        <v>0.424</v>
      </c>
      <c r="H209" s="10" t="n">
        <v>0.424</v>
      </c>
      <c r="I209" s="11" t="inlineStr">
        <is>
          <t>Alquimia (unico)</t>
        </is>
      </c>
      <c r="J209" s="10" t="n">
        <v>0.3</v>
      </c>
      <c r="K209" s="12">
        <f>J209*E209</f>
        <v/>
      </c>
      <c r="L209" s="12">
        <f>H209+J209</f>
        <v/>
      </c>
      <c r="M209" s="13" t="n">
        <v>0.6</v>
      </c>
      <c r="N209" s="12">
        <f>L209*(1+M209)</f>
        <v/>
      </c>
      <c r="O209" s="14" t="inlineStr">
        <is>
          <t>Sem custo cadastrado da Marfel para esta gramatura — usado apenas o valor da Alquimia.</t>
        </is>
      </c>
    </row>
    <row r="210">
      <c r="A210" s="8" t="inlineStr">
        <is>
          <t>Alça Vazada</t>
        </is>
      </c>
      <c r="B210" s="9" t="inlineStr">
        <is>
          <t>40x50</t>
        </is>
      </c>
      <c r="C210" s="9" t="inlineStr">
        <is>
          <t>0,08</t>
        </is>
      </c>
      <c r="D210" s="9" t="inlineStr">
        <is>
          <t>600–699</t>
        </is>
      </c>
      <c r="E210" s="9" t="n">
        <v>600</v>
      </c>
      <c r="F210" s="10" t="n">
        <v>0</v>
      </c>
      <c r="G210" s="10" t="n">
        <v>0.424</v>
      </c>
      <c r="H210" s="10" t="n">
        <v>0.424</v>
      </c>
      <c r="I210" s="11" t="inlineStr">
        <is>
          <t>Alquimia (unico)</t>
        </is>
      </c>
      <c r="J210" s="10" t="n">
        <v>0.3</v>
      </c>
      <c r="K210" s="12">
        <f>J210*E210</f>
        <v/>
      </c>
      <c r="L210" s="12">
        <f>H210+J210</f>
        <v/>
      </c>
      <c r="M210" s="13" t="n">
        <v>0.57</v>
      </c>
      <c r="N210" s="12">
        <f>L210*(1+M210)</f>
        <v/>
      </c>
      <c r="O210" s="14" t="inlineStr">
        <is>
          <t>Sem custo cadastrado da Marfel para esta gramatura — usado apenas o valor da Alquimia.</t>
        </is>
      </c>
    </row>
    <row r="211">
      <c r="A211" s="8" t="inlineStr">
        <is>
          <t>Alça Vazada</t>
        </is>
      </c>
      <c r="B211" s="9" t="inlineStr">
        <is>
          <t>40x50</t>
        </is>
      </c>
      <c r="C211" s="9" t="inlineStr">
        <is>
          <t>0,08</t>
        </is>
      </c>
      <c r="D211" s="9" t="inlineStr">
        <is>
          <t>700–799</t>
        </is>
      </c>
      <c r="E211" s="9" t="n">
        <v>700</v>
      </c>
      <c r="F211" s="10" t="n">
        <v>0</v>
      </c>
      <c r="G211" s="10" t="n">
        <v>0.424</v>
      </c>
      <c r="H211" s="10" t="n">
        <v>0.424</v>
      </c>
      <c r="I211" s="11" t="inlineStr">
        <is>
          <t>Alquimia (unico)</t>
        </is>
      </c>
      <c r="J211" s="10" t="n">
        <v>0.3</v>
      </c>
      <c r="K211" s="12">
        <f>J211*E211</f>
        <v/>
      </c>
      <c r="L211" s="12">
        <f>H211+J211</f>
        <v/>
      </c>
      <c r="M211" s="13" t="n">
        <v>0.54</v>
      </c>
      <c r="N211" s="12">
        <f>L211*(1+M211)</f>
        <v/>
      </c>
      <c r="O211" s="14" t="inlineStr">
        <is>
          <t>Sem custo cadastrado da Marfel para esta gramatura — usado apenas o valor da Alquimia.</t>
        </is>
      </c>
    </row>
    <row r="212">
      <c r="A212" s="8" t="inlineStr">
        <is>
          <t>Alça Vazada</t>
        </is>
      </c>
      <c r="B212" s="9" t="inlineStr">
        <is>
          <t>40x50</t>
        </is>
      </c>
      <c r="C212" s="9" t="inlineStr">
        <is>
          <t>0,08</t>
        </is>
      </c>
      <c r="D212" s="9" t="inlineStr">
        <is>
          <t>800–899</t>
        </is>
      </c>
      <c r="E212" s="9" t="n">
        <v>800</v>
      </c>
      <c r="F212" s="10" t="n">
        <v>0</v>
      </c>
      <c r="G212" s="10" t="n">
        <v>0.424</v>
      </c>
      <c r="H212" s="10" t="n">
        <v>0.424</v>
      </c>
      <c r="I212" s="11" t="inlineStr">
        <is>
          <t>Alquimia (unico)</t>
        </is>
      </c>
      <c r="J212" s="10" t="n">
        <v>0.3</v>
      </c>
      <c r="K212" s="12">
        <f>J212*E212</f>
        <v/>
      </c>
      <c r="L212" s="12">
        <f>H212+J212</f>
        <v/>
      </c>
      <c r="M212" s="13" t="n">
        <v>0.51</v>
      </c>
      <c r="N212" s="12">
        <f>L212*(1+M212)</f>
        <v/>
      </c>
      <c r="O212" s="14" t="inlineStr">
        <is>
          <t>Sem custo cadastrado da Marfel para esta gramatura — usado apenas o valor da Alquimia.</t>
        </is>
      </c>
    </row>
    <row r="213">
      <c r="A213" s="8" t="inlineStr">
        <is>
          <t>Alça Vazada</t>
        </is>
      </c>
      <c r="B213" s="9" t="inlineStr">
        <is>
          <t>40x50</t>
        </is>
      </c>
      <c r="C213" s="9" t="inlineStr">
        <is>
          <t>0,08</t>
        </is>
      </c>
      <c r="D213" s="9" t="inlineStr">
        <is>
          <t>900–999</t>
        </is>
      </c>
      <c r="E213" s="9" t="n">
        <v>900</v>
      </c>
      <c r="F213" s="10" t="n">
        <v>0</v>
      </c>
      <c r="G213" s="10" t="n">
        <v>0.424</v>
      </c>
      <c r="H213" s="10" t="n">
        <v>0.424</v>
      </c>
      <c r="I213" s="11" t="inlineStr">
        <is>
          <t>Alquimia (unico)</t>
        </is>
      </c>
      <c r="J213" s="10" t="n">
        <v>0.3</v>
      </c>
      <c r="K213" s="12">
        <f>J213*E213</f>
        <v/>
      </c>
      <c r="L213" s="12">
        <f>H213+J213</f>
        <v/>
      </c>
      <c r="M213" s="13" t="n">
        <v>0.48</v>
      </c>
      <c r="N213" s="12">
        <f>L213*(1+M213)</f>
        <v/>
      </c>
      <c r="O213" s="14" t="inlineStr">
        <is>
          <t>Sem custo cadastrado da Marfel para esta gramatura — usado apenas o valor da Alquimia.</t>
        </is>
      </c>
    </row>
    <row r="214">
      <c r="A214" s="8" t="inlineStr">
        <is>
          <t>Alça Vazada</t>
        </is>
      </c>
      <c r="B214" s="9" t="inlineStr">
        <is>
          <t>40x50</t>
        </is>
      </c>
      <c r="C214" s="9" t="inlineStr">
        <is>
          <t>0,08</t>
        </is>
      </c>
      <c r="D214" s="9" t="inlineStr">
        <is>
          <t>1000+</t>
        </is>
      </c>
      <c r="E214" s="9" t="n">
        <v>1000</v>
      </c>
      <c r="F214" s="10" t="n">
        <v>0</v>
      </c>
      <c r="G214" s="10" t="n">
        <v>0.424</v>
      </c>
      <c r="H214" s="10" t="n">
        <v>0.424</v>
      </c>
      <c r="I214" s="11" t="inlineStr">
        <is>
          <t>Alquimia (unico)</t>
        </is>
      </c>
      <c r="J214" s="10" t="n">
        <v>0.3</v>
      </c>
      <c r="K214" s="12">
        <f>J214*E214</f>
        <v/>
      </c>
      <c r="L214" s="12">
        <f>H214+J214</f>
        <v/>
      </c>
      <c r="M214" s="13" t="n">
        <v>0.4</v>
      </c>
      <c r="N214" s="12">
        <f>L214*(1+M214)</f>
        <v/>
      </c>
      <c r="O214" s="14" t="inlineStr">
        <is>
          <t>Sem custo cadastrado da Marfel para esta gramatura — usado apenas o valor da Alquimia.</t>
        </is>
      </c>
    </row>
    <row r="215">
      <c r="A215" s="8" t="inlineStr">
        <is>
          <t>Alça Vazada</t>
        </is>
      </c>
      <c r="B215" s="9" t="inlineStr">
        <is>
          <t>40x50</t>
        </is>
      </c>
      <c r="C215" s="9" t="inlineStr">
        <is>
          <t>0,10</t>
        </is>
      </c>
      <c r="D215" s="9" t="inlineStr">
        <is>
          <t>100–199</t>
        </is>
      </c>
      <c r="E215" s="9" t="n">
        <v>100</v>
      </c>
      <c r="F215" s="10" t="n">
        <v>0.6840000000000001</v>
      </c>
      <c r="G215" s="10" t="n">
        <v>0</v>
      </c>
      <c r="H215" s="10" t="n">
        <v>0.6840000000000001</v>
      </c>
      <c r="I215" s="11" t="inlineStr">
        <is>
          <t>Marfel (unico)</t>
        </is>
      </c>
      <c r="J215" s="10" t="n">
        <v>0.3</v>
      </c>
      <c r="K215" s="12">
        <f>J215*E215</f>
        <v/>
      </c>
      <c r="L215" s="12">
        <f>H215+J215</f>
        <v/>
      </c>
      <c r="M215" s="13" t="n">
        <v>1</v>
      </c>
      <c r="N215" s="12">
        <f>L215*(1+M215)</f>
        <v/>
      </c>
      <c r="O215" s="14" t="inlineStr">
        <is>
          <t>Sem custo cadastrado da Alquimia para esta gramatura — usado apenas o valor da Marfel.</t>
        </is>
      </c>
    </row>
    <row r="216">
      <c r="A216" s="8" t="inlineStr">
        <is>
          <t>Alça Vazada</t>
        </is>
      </c>
      <c r="B216" s="9" t="inlineStr">
        <is>
          <t>40x50</t>
        </is>
      </c>
      <c r="C216" s="9" t="inlineStr">
        <is>
          <t>0,10</t>
        </is>
      </c>
      <c r="D216" s="9" t="inlineStr">
        <is>
          <t>200–299</t>
        </is>
      </c>
      <c r="E216" s="9" t="n">
        <v>200</v>
      </c>
      <c r="F216" s="10" t="n">
        <v>0.6840000000000001</v>
      </c>
      <c r="G216" s="10" t="n">
        <v>0</v>
      </c>
      <c r="H216" s="10" t="n">
        <v>0.6840000000000001</v>
      </c>
      <c r="I216" s="11" t="inlineStr">
        <is>
          <t>Marfel (unico)</t>
        </is>
      </c>
      <c r="J216" s="10" t="n">
        <v>0.3</v>
      </c>
      <c r="K216" s="12">
        <f>J216*E216</f>
        <v/>
      </c>
      <c r="L216" s="12">
        <f>H216+J216</f>
        <v/>
      </c>
      <c r="M216" s="13" t="n">
        <v>0.75</v>
      </c>
      <c r="N216" s="12">
        <f>L216*(1+M216)</f>
        <v/>
      </c>
      <c r="O216" s="14" t="inlineStr">
        <is>
          <t>Sem custo cadastrado da Alquimia para esta gramatura — usado apenas o valor da Marfel.</t>
        </is>
      </c>
    </row>
    <row r="217">
      <c r="A217" s="8" t="inlineStr">
        <is>
          <t>Alça Vazada</t>
        </is>
      </c>
      <c r="B217" s="9" t="inlineStr">
        <is>
          <t>40x50</t>
        </is>
      </c>
      <c r="C217" s="9" t="inlineStr">
        <is>
          <t>0,10</t>
        </is>
      </c>
      <c r="D217" s="9" t="inlineStr">
        <is>
          <t>300–399</t>
        </is>
      </c>
      <c r="E217" s="9" t="n">
        <v>300</v>
      </c>
      <c r="F217" s="10" t="n">
        <v>0.6840000000000001</v>
      </c>
      <c r="G217" s="10" t="n">
        <v>0</v>
      </c>
      <c r="H217" s="10" t="n">
        <v>0.6840000000000001</v>
      </c>
      <c r="I217" s="11" t="inlineStr">
        <is>
          <t>Marfel (unico)</t>
        </is>
      </c>
      <c r="J217" s="10" t="n">
        <v>0.3</v>
      </c>
      <c r="K217" s="12">
        <f>J217*E217</f>
        <v/>
      </c>
      <c r="L217" s="12">
        <f>H217+J217</f>
        <v/>
      </c>
      <c r="M217" s="13" t="n">
        <v>0.7</v>
      </c>
      <c r="N217" s="12">
        <f>L217*(1+M217)</f>
        <v/>
      </c>
      <c r="O217" s="14" t="inlineStr">
        <is>
          <t>Sem custo cadastrado da Alquimia para esta gramatura — usado apenas o valor da Marfel.</t>
        </is>
      </c>
    </row>
    <row r="218">
      <c r="A218" s="8" t="inlineStr">
        <is>
          <t>Alça Vazada</t>
        </is>
      </c>
      <c r="B218" s="9" t="inlineStr">
        <is>
          <t>40x50</t>
        </is>
      </c>
      <c r="C218" s="9" t="inlineStr">
        <is>
          <t>0,10</t>
        </is>
      </c>
      <c r="D218" s="9" t="inlineStr">
        <is>
          <t>400–499</t>
        </is>
      </c>
      <c r="E218" s="9" t="n">
        <v>400</v>
      </c>
      <c r="F218" s="10" t="n">
        <v>0.6840000000000001</v>
      </c>
      <c r="G218" s="10" t="n">
        <v>0</v>
      </c>
      <c r="H218" s="10" t="n">
        <v>0.6840000000000001</v>
      </c>
      <c r="I218" s="11" t="inlineStr">
        <is>
          <t>Marfel (unico)</t>
        </is>
      </c>
      <c r="J218" s="10" t="n">
        <v>0.3</v>
      </c>
      <c r="K218" s="12">
        <f>J218*E218</f>
        <v/>
      </c>
      <c r="L218" s="12">
        <f>H218+J218</f>
        <v/>
      </c>
      <c r="M218" s="13" t="n">
        <v>0.65</v>
      </c>
      <c r="N218" s="12">
        <f>L218*(1+M218)</f>
        <v/>
      </c>
      <c r="O218" s="14" t="inlineStr">
        <is>
          <t>Sem custo cadastrado da Alquimia para esta gramatura — usado apenas o valor da Marfel.</t>
        </is>
      </c>
    </row>
    <row r="219">
      <c r="A219" s="8" t="inlineStr">
        <is>
          <t>Alça Vazada</t>
        </is>
      </c>
      <c r="B219" s="9" t="inlineStr">
        <is>
          <t>40x50</t>
        </is>
      </c>
      <c r="C219" s="9" t="inlineStr">
        <is>
          <t>0,10</t>
        </is>
      </c>
      <c r="D219" s="9" t="inlineStr">
        <is>
          <t>500–599</t>
        </is>
      </c>
      <c r="E219" s="9" t="n">
        <v>500</v>
      </c>
      <c r="F219" s="10" t="n">
        <v>0.6840000000000001</v>
      </c>
      <c r="G219" s="10" t="n">
        <v>0</v>
      </c>
      <c r="H219" s="10" t="n">
        <v>0.6840000000000001</v>
      </c>
      <c r="I219" s="11" t="inlineStr">
        <is>
          <t>Marfel (unico)</t>
        </is>
      </c>
      <c r="J219" s="10" t="n">
        <v>0.3</v>
      </c>
      <c r="K219" s="12">
        <f>J219*E219</f>
        <v/>
      </c>
      <c r="L219" s="12">
        <f>H219+J219</f>
        <v/>
      </c>
      <c r="M219" s="13" t="n">
        <v>0.6</v>
      </c>
      <c r="N219" s="12">
        <f>L219*(1+M219)</f>
        <v/>
      </c>
      <c r="O219" s="14" t="inlineStr">
        <is>
          <t>Sem custo cadastrado da Alquimia para esta gramatura — usado apenas o valor da Marfel.</t>
        </is>
      </c>
    </row>
    <row r="220">
      <c r="A220" s="8" t="inlineStr">
        <is>
          <t>Alça Vazada</t>
        </is>
      </c>
      <c r="B220" s="9" t="inlineStr">
        <is>
          <t>40x50</t>
        </is>
      </c>
      <c r="C220" s="9" t="inlineStr">
        <is>
          <t>0,10</t>
        </is>
      </c>
      <c r="D220" s="9" t="inlineStr">
        <is>
          <t>600–699</t>
        </is>
      </c>
      <c r="E220" s="9" t="n">
        <v>600</v>
      </c>
      <c r="F220" s="10" t="n">
        <v>0.6840000000000001</v>
      </c>
      <c r="G220" s="10" t="n">
        <v>0</v>
      </c>
      <c r="H220" s="10" t="n">
        <v>0.6840000000000001</v>
      </c>
      <c r="I220" s="11" t="inlineStr">
        <is>
          <t>Marfel (unico)</t>
        </is>
      </c>
      <c r="J220" s="10" t="n">
        <v>0.3</v>
      </c>
      <c r="K220" s="12">
        <f>J220*E220</f>
        <v/>
      </c>
      <c r="L220" s="12">
        <f>H220+J220</f>
        <v/>
      </c>
      <c r="M220" s="13" t="n">
        <v>0.57</v>
      </c>
      <c r="N220" s="12">
        <f>L220*(1+M220)</f>
        <v/>
      </c>
      <c r="O220" s="14" t="inlineStr">
        <is>
          <t>Sem custo cadastrado da Alquimia para esta gramatura — usado apenas o valor da Marfel.</t>
        </is>
      </c>
    </row>
    <row r="221">
      <c r="A221" s="8" t="inlineStr">
        <is>
          <t>Alça Vazada</t>
        </is>
      </c>
      <c r="B221" s="9" t="inlineStr">
        <is>
          <t>40x50</t>
        </is>
      </c>
      <c r="C221" s="9" t="inlineStr">
        <is>
          <t>0,10</t>
        </is>
      </c>
      <c r="D221" s="9" t="inlineStr">
        <is>
          <t>700–799</t>
        </is>
      </c>
      <c r="E221" s="9" t="n">
        <v>700</v>
      </c>
      <c r="F221" s="10" t="n">
        <v>0.6840000000000001</v>
      </c>
      <c r="G221" s="10" t="n">
        <v>0</v>
      </c>
      <c r="H221" s="10" t="n">
        <v>0.6840000000000001</v>
      </c>
      <c r="I221" s="11" t="inlineStr">
        <is>
          <t>Marfel (unico)</t>
        </is>
      </c>
      <c r="J221" s="10" t="n">
        <v>0.3</v>
      </c>
      <c r="K221" s="12">
        <f>J221*E221</f>
        <v/>
      </c>
      <c r="L221" s="12">
        <f>H221+J221</f>
        <v/>
      </c>
      <c r="M221" s="13" t="n">
        <v>0.54</v>
      </c>
      <c r="N221" s="12">
        <f>L221*(1+M221)</f>
        <v/>
      </c>
      <c r="O221" s="14" t="inlineStr">
        <is>
          <t>Sem custo cadastrado da Alquimia para esta gramatura — usado apenas o valor da Marfel.</t>
        </is>
      </c>
    </row>
    <row r="222">
      <c r="A222" s="8" t="inlineStr">
        <is>
          <t>Alça Vazada</t>
        </is>
      </c>
      <c r="B222" s="9" t="inlineStr">
        <is>
          <t>40x50</t>
        </is>
      </c>
      <c r="C222" s="9" t="inlineStr">
        <is>
          <t>0,10</t>
        </is>
      </c>
      <c r="D222" s="9" t="inlineStr">
        <is>
          <t>800–899</t>
        </is>
      </c>
      <c r="E222" s="9" t="n">
        <v>800</v>
      </c>
      <c r="F222" s="10" t="n">
        <v>0.6840000000000001</v>
      </c>
      <c r="G222" s="10" t="n">
        <v>0</v>
      </c>
      <c r="H222" s="10" t="n">
        <v>0.6840000000000001</v>
      </c>
      <c r="I222" s="11" t="inlineStr">
        <is>
          <t>Marfel (unico)</t>
        </is>
      </c>
      <c r="J222" s="10" t="n">
        <v>0.3</v>
      </c>
      <c r="K222" s="12">
        <f>J222*E222</f>
        <v/>
      </c>
      <c r="L222" s="12">
        <f>H222+J222</f>
        <v/>
      </c>
      <c r="M222" s="13" t="n">
        <v>0.51</v>
      </c>
      <c r="N222" s="12">
        <f>L222*(1+M222)</f>
        <v/>
      </c>
      <c r="O222" s="14" t="inlineStr">
        <is>
          <t>Sem custo cadastrado da Alquimia para esta gramatura — usado apenas o valor da Marfel.</t>
        </is>
      </c>
    </row>
    <row r="223">
      <c r="A223" s="8" t="inlineStr">
        <is>
          <t>Alça Vazada</t>
        </is>
      </c>
      <c r="B223" s="9" t="inlineStr">
        <is>
          <t>40x50</t>
        </is>
      </c>
      <c r="C223" s="9" t="inlineStr">
        <is>
          <t>0,10</t>
        </is>
      </c>
      <c r="D223" s="9" t="inlineStr">
        <is>
          <t>900–999</t>
        </is>
      </c>
      <c r="E223" s="9" t="n">
        <v>900</v>
      </c>
      <c r="F223" s="10" t="n">
        <v>0.6840000000000001</v>
      </c>
      <c r="G223" s="10" t="n">
        <v>0</v>
      </c>
      <c r="H223" s="10" t="n">
        <v>0.6840000000000001</v>
      </c>
      <c r="I223" s="11" t="inlineStr">
        <is>
          <t>Marfel (unico)</t>
        </is>
      </c>
      <c r="J223" s="10" t="n">
        <v>0.3</v>
      </c>
      <c r="K223" s="12">
        <f>J223*E223</f>
        <v/>
      </c>
      <c r="L223" s="12">
        <f>H223+J223</f>
        <v/>
      </c>
      <c r="M223" s="13" t="n">
        <v>0.48</v>
      </c>
      <c r="N223" s="12">
        <f>L223*(1+M223)</f>
        <v/>
      </c>
      <c r="O223" s="14" t="inlineStr">
        <is>
          <t>Sem custo cadastrado da Alquimia para esta gramatura — usado apenas o valor da Marfel.</t>
        </is>
      </c>
    </row>
    <row r="224">
      <c r="A224" s="8" t="inlineStr">
        <is>
          <t>Alça Vazada</t>
        </is>
      </c>
      <c r="B224" s="9" t="inlineStr">
        <is>
          <t>40x50</t>
        </is>
      </c>
      <c r="C224" s="9" t="inlineStr">
        <is>
          <t>0,10</t>
        </is>
      </c>
      <c r="D224" s="9" t="inlineStr">
        <is>
          <t>1000+</t>
        </is>
      </c>
      <c r="E224" s="9" t="n">
        <v>1000</v>
      </c>
      <c r="F224" s="10" t="n">
        <v>0.6840000000000001</v>
      </c>
      <c r="G224" s="10" t="n">
        <v>0</v>
      </c>
      <c r="H224" s="10" t="n">
        <v>0.6840000000000001</v>
      </c>
      <c r="I224" s="11" t="inlineStr">
        <is>
          <t>Marfel (unico)</t>
        </is>
      </c>
      <c r="J224" s="10" t="n">
        <v>0.3</v>
      </c>
      <c r="K224" s="12">
        <f>J224*E224</f>
        <v/>
      </c>
      <c r="L224" s="12">
        <f>H224+J224</f>
        <v/>
      </c>
      <c r="M224" s="13" t="n">
        <v>0.4</v>
      </c>
      <c r="N224" s="12">
        <f>L224*(1+M224)</f>
        <v/>
      </c>
      <c r="O224" s="14" t="inlineStr">
        <is>
          <t>Sem custo cadastrado da Alquimia para esta gramatura — usado apenas o valor da Marfel.</t>
        </is>
      </c>
    </row>
    <row r="225">
      <c r="A225" s="8" t="inlineStr">
        <is>
          <t>Alça Vazada</t>
        </is>
      </c>
      <c r="B225" s="9" t="inlineStr">
        <is>
          <t>45x60</t>
        </is>
      </c>
      <c r="C225" s="9" t="inlineStr">
        <is>
          <t>0,12</t>
        </is>
      </c>
      <c r="D225" s="9" t="inlineStr">
        <is>
          <t>100–199</t>
        </is>
      </c>
      <c r="E225" s="9" t="n">
        <v>100</v>
      </c>
      <c r="F225" s="10" t="n">
        <v>1.1115</v>
      </c>
      <c r="G225" s="10" t="n">
        <v>0</v>
      </c>
      <c r="H225" s="10" t="n">
        <v>1.1115</v>
      </c>
      <c r="I225" s="11" t="inlineStr">
        <is>
          <t>Marfel (unico)</t>
        </is>
      </c>
      <c r="J225" s="10" t="n">
        <v>0.3</v>
      </c>
      <c r="K225" s="12">
        <f>J225*E225</f>
        <v/>
      </c>
      <c r="L225" s="12">
        <f>H225+J225</f>
        <v/>
      </c>
      <c r="M225" s="13" t="n">
        <v>1</v>
      </c>
      <c r="N225" s="12">
        <f>L225*(1+M225)</f>
        <v/>
      </c>
      <c r="O225" s="14" t="inlineStr">
        <is>
          <t>Sem custo cadastrado da Alquimia para esta gramatura — usado apenas o valor da Marfel.</t>
        </is>
      </c>
    </row>
    <row r="226">
      <c r="A226" s="8" t="inlineStr">
        <is>
          <t>Alça Vazada</t>
        </is>
      </c>
      <c r="B226" s="9" t="inlineStr">
        <is>
          <t>45x60</t>
        </is>
      </c>
      <c r="C226" s="9" t="inlineStr">
        <is>
          <t>0,12</t>
        </is>
      </c>
      <c r="D226" s="9" t="inlineStr">
        <is>
          <t>200–299</t>
        </is>
      </c>
      <c r="E226" s="9" t="n">
        <v>200</v>
      </c>
      <c r="F226" s="10" t="n">
        <v>1.1115</v>
      </c>
      <c r="G226" s="10" t="n">
        <v>0</v>
      </c>
      <c r="H226" s="10" t="n">
        <v>1.1115</v>
      </c>
      <c r="I226" s="11" t="inlineStr">
        <is>
          <t>Marfel (unico)</t>
        </is>
      </c>
      <c r="J226" s="10" t="n">
        <v>0.3</v>
      </c>
      <c r="K226" s="12">
        <f>J226*E226</f>
        <v/>
      </c>
      <c r="L226" s="12">
        <f>H226+J226</f>
        <v/>
      </c>
      <c r="M226" s="13" t="n">
        <v>0.75</v>
      </c>
      <c r="N226" s="12">
        <f>L226*(1+M226)</f>
        <v/>
      </c>
      <c r="O226" s="14" t="inlineStr">
        <is>
          <t>Sem custo cadastrado da Alquimia para esta gramatura — usado apenas o valor da Marfel.</t>
        </is>
      </c>
    </row>
    <row r="227">
      <c r="A227" s="8" t="inlineStr">
        <is>
          <t>Alça Vazada</t>
        </is>
      </c>
      <c r="B227" s="9" t="inlineStr">
        <is>
          <t>45x60</t>
        </is>
      </c>
      <c r="C227" s="9" t="inlineStr">
        <is>
          <t>0,12</t>
        </is>
      </c>
      <c r="D227" s="9" t="inlineStr">
        <is>
          <t>300–399</t>
        </is>
      </c>
      <c r="E227" s="9" t="n">
        <v>300</v>
      </c>
      <c r="F227" s="10" t="n">
        <v>1.1115</v>
      </c>
      <c r="G227" s="10" t="n">
        <v>0</v>
      </c>
      <c r="H227" s="10" t="n">
        <v>1.1115</v>
      </c>
      <c r="I227" s="11" t="inlineStr">
        <is>
          <t>Marfel (unico)</t>
        </is>
      </c>
      <c r="J227" s="10" t="n">
        <v>0.3</v>
      </c>
      <c r="K227" s="12">
        <f>J227*E227</f>
        <v/>
      </c>
      <c r="L227" s="12">
        <f>H227+J227</f>
        <v/>
      </c>
      <c r="M227" s="13" t="n">
        <v>0.7</v>
      </c>
      <c r="N227" s="12">
        <f>L227*(1+M227)</f>
        <v/>
      </c>
      <c r="O227" s="14" t="inlineStr">
        <is>
          <t>Sem custo cadastrado da Alquimia para esta gramatura — usado apenas o valor da Marfel.</t>
        </is>
      </c>
    </row>
    <row r="228">
      <c r="A228" s="8" t="inlineStr">
        <is>
          <t>Alça Vazada</t>
        </is>
      </c>
      <c r="B228" s="9" t="inlineStr">
        <is>
          <t>45x60</t>
        </is>
      </c>
      <c r="C228" s="9" t="inlineStr">
        <is>
          <t>0,12</t>
        </is>
      </c>
      <c r="D228" s="9" t="inlineStr">
        <is>
          <t>400–499</t>
        </is>
      </c>
      <c r="E228" s="9" t="n">
        <v>400</v>
      </c>
      <c r="F228" s="10" t="n">
        <v>1.1115</v>
      </c>
      <c r="G228" s="10" t="n">
        <v>0</v>
      </c>
      <c r="H228" s="10" t="n">
        <v>1.1115</v>
      </c>
      <c r="I228" s="11" t="inlineStr">
        <is>
          <t>Marfel (unico)</t>
        </is>
      </c>
      <c r="J228" s="10" t="n">
        <v>0.3</v>
      </c>
      <c r="K228" s="12">
        <f>J228*E228</f>
        <v/>
      </c>
      <c r="L228" s="12">
        <f>H228+J228</f>
        <v/>
      </c>
      <c r="M228" s="13" t="n">
        <v>0.65</v>
      </c>
      <c r="N228" s="12">
        <f>L228*(1+M228)</f>
        <v/>
      </c>
      <c r="O228" s="14" t="inlineStr">
        <is>
          <t>Sem custo cadastrado da Alquimia para esta gramatura — usado apenas o valor da Marfel.</t>
        </is>
      </c>
    </row>
    <row r="229">
      <c r="A229" s="8" t="inlineStr">
        <is>
          <t>Alça Vazada</t>
        </is>
      </c>
      <c r="B229" s="9" t="inlineStr">
        <is>
          <t>45x60</t>
        </is>
      </c>
      <c r="C229" s="9" t="inlineStr">
        <is>
          <t>0,12</t>
        </is>
      </c>
      <c r="D229" s="9" t="inlineStr">
        <is>
          <t>500–599</t>
        </is>
      </c>
      <c r="E229" s="9" t="n">
        <v>500</v>
      </c>
      <c r="F229" s="10" t="n">
        <v>1.1115</v>
      </c>
      <c r="G229" s="10" t="n">
        <v>0</v>
      </c>
      <c r="H229" s="10" t="n">
        <v>1.1115</v>
      </c>
      <c r="I229" s="11" t="inlineStr">
        <is>
          <t>Marfel (unico)</t>
        </is>
      </c>
      <c r="J229" s="10" t="n">
        <v>0.3</v>
      </c>
      <c r="K229" s="12">
        <f>J229*E229</f>
        <v/>
      </c>
      <c r="L229" s="12">
        <f>H229+J229</f>
        <v/>
      </c>
      <c r="M229" s="13" t="n">
        <v>0.6</v>
      </c>
      <c r="N229" s="12">
        <f>L229*(1+M229)</f>
        <v/>
      </c>
      <c r="O229" s="14" t="inlineStr">
        <is>
          <t>Sem custo cadastrado da Alquimia para esta gramatura — usado apenas o valor da Marfel.</t>
        </is>
      </c>
    </row>
    <row r="230">
      <c r="A230" s="8" t="inlineStr">
        <is>
          <t>Alça Vazada</t>
        </is>
      </c>
      <c r="B230" s="9" t="inlineStr">
        <is>
          <t>45x60</t>
        </is>
      </c>
      <c r="C230" s="9" t="inlineStr">
        <is>
          <t>0,12</t>
        </is>
      </c>
      <c r="D230" s="9" t="inlineStr">
        <is>
          <t>600–699</t>
        </is>
      </c>
      <c r="E230" s="9" t="n">
        <v>600</v>
      </c>
      <c r="F230" s="10" t="n">
        <v>1.1115</v>
      </c>
      <c r="G230" s="10" t="n">
        <v>0</v>
      </c>
      <c r="H230" s="10" t="n">
        <v>1.1115</v>
      </c>
      <c r="I230" s="11" t="inlineStr">
        <is>
          <t>Marfel (unico)</t>
        </is>
      </c>
      <c r="J230" s="10" t="n">
        <v>0.3</v>
      </c>
      <c r="K230" s="12">
        <f>J230*E230</f>
        <v/>
      </c>
      <c r="L230" s="12">
        <f>H230+J230</f>
        <v/>
      </c>
      <c r="M230" s="13" t="n">
        <v>0.57</v>
      </c>
      <c r="N230" s="12">
        <f>L230*(1+M230)</f>
        <v/>
      </c>
      <c r="O230" s="14" t="inlineStr">
        <is>
          <t>Sem custo cadastrado da Alquimia para esta gramatura — usado apenas o valor da Marfel.</t>
        </is>
      </c>
    </row>
    <row r="231">
      <c r="A231" s="8" t="inlineStr">
        <is>
          <t>Alça Vazada</t>
        </is>
      </c>
      <c r="B231" s="9" t="inlineStr">
        <is>
          <t>45x60</t>
        </is>
      </c>
      <c r="C231" s="9" t="inlineStr">
        <is>
          <t>0,12</t>
        </is>
      </c>
      <c r="D231" s="9" t="inlineStr">
        <is>
          <t>700–799</t>
        </is>
      </c>
      <c r="E231" s="9" t="n">
        <v>700</v>
      </c>
      <c r="F231" s="10" t="n">
        <v>1.1115</v>
      </c>
      <c r="G231" s="10" t="n">
        <v>0</v>
      </c>
      <c r="H231" s="10" t="n">
        <v>1.1115</v>
      </c>
      <c r="I231" s="11" t="inlineStr">
        <is>
          <t>Marfel (unico)</t>
        </is>
      </c>
      <c r="J231" s="10" t="n">
        <v>0.3</v>
      </c>
      <c r="K231" s="12">
        <f>J231*E231</f>
        <v/>
      </c>
      <c r="L231" s="12">
        <f>H231+J231</f>
        <v/>
      </c>
      <c r="M231" s="13" t="n">
        <v>0.54</v>
      </c>
      <c r="N231" s="12">
        <f>L231*(1+M231)</f>
        <v/>
      </c>
      <c r="O231" s="14" t="inlineStr">
        <is>
          <t>Sem custo cadastrado da Alquimia para esta gramatura — usado apenas o valor da Marfel.</t>
        </is>
      </c>
    </row>
    <row r="232">
      <c r="A232" s="8" t="inlineStr">
        <is>
          <t>Alça Vazada</t>
        </is>
      </c>
      <c r="B232" s="9" t="inlineStr">
        <is>
          <t>45x60</t>
        </is>
      </c>
      <c r="C232" s="9" t="inlineStr">
        <is>
          <t>0,12</t>
        </is>
      </c>
      <c r="D232" s="9" t="inlineStr">
        <is>
          <t>800–899</t>
        </is>
      </c>
      <c r="E232" s="9" t="n">
        <v>800</v>
      </c>
      <c r="F232" s="10" t="n">
        <v>1.1115</v>
      </c>
      <c r="G232" s="10" t="n">
        <v>0</v>
      </c>
      <c r="H232" s="10" t="n">
        <v>1.1115</v>
      </c>
      <c r="I232" s="11" t="inlineStr">
        <is>
          <t>Marfel (unico)</t>
        </is>
      </c>
      <c r="J232" s="10" t="n">
        <v>0.3</v>
      </c>
      <c r="K232" s="12">
        <f>J232*E232</f>
        <v/>
      </c>
      <c r="L232" s="12">
        <f>H232+J232</f>
        <v/>
      </c>
      <c r="M232" s="13" t="n">
        <v>0.51</v>
      </c>
      <c r="N232" s="12">
        <f>L232*(1+M232)</f>
        <v/>
      </c>
      <c r="O232" s="14" t="inlineStr">
        <is>
          <t>Sem custo cadastrado da Alquimia para esta gramatura — usado apenas o valor da Marfel.</t>
        </is>
      </c>
    </row>
    <row r="233">
      <c r="A233" s="8" t="inlineStr">
        <is>
          <t>Alça Vazada</t>
        </is>
      </c>
      <c r="B233" s="9" t="inlineStr">
        <is>
          <t>45x60</t>
        </is>
      </c>
      <c r="C233" s="9" t="inlineStr">
        <is>
          <t>0,12</t>
        </is>
      </c>
      <c r="D233" s="9" t="inlineStr">
        <is>
          <t>900–999</t>
        </is>
      </c>
      <c r="E233" s="9" t="n">
        <v>900</v>
      </c>
      <c r="F233" s="10" t="n">
        <v>1.1115</v>
      </c>
      <c r="G233" s="10" t="n">
        <v>0</v>
      </c>
      <c r="H233" s="10" t="n">
        <v>1.1115</v>
      </c>
      <c r="I233" s="11" t="inlineStr">
        <is>
          <t>Marfel (unico)</t>
        </is>
      </c>
      <c r="J233" s="10" t="n">
        <v>0.3</v>
      </c>
      <c r="K233" s="12">
        <f>J233*E233</f>
        <v/>
      </c>
      <c r="L233" s="12">
        <f>H233+J233</f>
        <v/>
      </c>
      <c r="M233" s="13" t="n">
        <v>0.48</v>
      </c>
      <c r="N233" s="12">
        <f>L233*(1+M233)</f>
        <v/>
      </c>
      <c r="O233" s="14" t="inlineStr">
        <is>
          <t>Sem custo cadastrado da Alquimia para esta gramatura — usado apenas o valor da Marfel.</t>
        </is>
      </c>
    </row>
    <row r="234">
      <c r="A234" s="8" t="inlineStr">
        <is>
          <t>Alça Vazada</t>
        </is>
      </c>
      <c r="B234" s="9" t="inlineStr">
        <is>
          <t>45x60</t>
        </is>
      </c>
      <c r="C234" s="9" t="inlineStr">
        <is>
          <t>0,12</t>
        </is>
      </c>
      <c r="D234" s="9" t="inlineStr">
        <is>
          <t>1000+</t>
        </is>
      </c>
      <c r="E234" s="9" t="n">
        <v>1000</v>
      </c>
      <c r="F234" s="10" t="n">
        <v>1.1115</v>
      </c>
      <c r="G234" s="10" t="n">
        <v>0</v>
      </c>
      <c r="H234" s="10" t="n">
        <v>1.1115</v>
      </c>
      <c r="I234" s="11" t="inlineStr">
        <is>
          <t>Marfel (unico)</t>
        </is>
      </c>
      <c r="J234" s="10" t="n">
        <v>0.3</v>
      </c>
      <c r="K234" s="12">
        <f>J234*E234</f>
        <v/>
      </c>
      <c r="L234" s="12">
        <f>H234+J234</f>
        <v/>
      </c>
      <c r="M234" s="13" t="n">
        <v>0.4</v>
      </c>
      <c r="N234" s="12">
        <f>L234*(1+M234)</f>
        <v/>
      </c>
      <c r="O234" s="14" t="inlineStr">
        <is>
          <t>Sem custo cadastrado da Alquimia para esta gramatura — usado apenas o valor da Marfel.</t>
        </is>
      </c>
    </row>
    <row r="235">
      <c r="A235" s="8" t="inlineStr">
        <is>
          <t>Alça Vazada</t>
        </is>
      </c>
      <c r="B235" s="9" t="inlineStr">
        <is>
          <t>50x60</t>
        </is>
      </c>
      <c r="C235" s="9" t="inlineStr">
        <is>
          <t>0,10</t>
        </is>
      </c>
      <c r="D235" s="9" t="inlineStr">
        <is>
          <t>100–199</t>
        </is>
      </c>
      <c r="E235" s="9" t="n">
        <v>100</v>
      </c>
      <c r="F235" s="10" t="n">
        <v>0</v>
      </c>
      <c r="G235" s="10" t="n">
        <v>0.795</v>
      </c>
      <c r="H235" s="10" t="n">
        <v>0.795</v>
      </c>
      <c r="I235" s="11" t="inlineStr">
        <is>
          <t>Alquimia (unico)</t>
        </is>
      </c>
      <c r="J235" s="10" t="n">
        <v>0.3</v>
      </c>
      <c r="K235" s="12">
        <f>J235*E235</f>
        <v/>
      </c>
      <c r="L235" s="12">
        <f>H235+J235</f>
        <v/>
      </c>
      <c r="M235" s="13" t="n">
        <v>1</v>
      </c>
      <c r="N235" s="12">
        <f>L235*(1+M235)</f>
        <v/>
      </c>
      <c r="O235" s="14" t="inlineStr">
        <is>
          <t>Sem custo cadastrado da Marfel para esta gramatura — usado apenas o valor da Alquimia.</t>
        </is>
      </c>
    </row>
    <row r="236">
      <c r="A236" s="8" t="inlineStr">
        <is>
          <t>Alça Vazada</t>
        </is>
      </c>
      <c r="B236" s="9" t="inlineStr">
        <is>
          <t>50x60</t>
        </is>
      </c>
      <c r="C236" s="9" t="inlineStr">
        <is>
          <t>0,10</t>
        </is>
      </c>
      <c r="D236" s="9" t="inlineStr">
        <is>
          <t>200–299</t>
        </is>
      </c>
      <c r="E236" s="9" t="n">
        <v>200</v>
      </c>
      <c r="F236" s="10" t="n">
        <v>0</v>
      </c>
      <c r="G236" s="10" t="n">
        <v>0.795</v>
      </c>
      <c r="H236" s="10" t="n">
        <v>0.795</v>
      </c>
      <c r="I236" s="11" t="inlineStr">
        <is>
          <t>Alquimia (unico)</t>
        </is>
      </c>
      <c r="J236" s="10" t="n">
        <v>0.3</v>
      </c>
      <c r="K236" s="12">
        <f>J236*E236</f>
        <v/>
      </c>
      <c r="L236" s="12">
        <f>H236+J236</f>
        <v/>
      </c>
      <c r="M236" s="13" t="n">
        <v>0.75</v>
      </c>
      <c r="N236" s="12">
        <f>L236*(1+M236)</f>
        <v/>
      </c>
      <c r="O236" s="14" t="inlineStr">
        <is>
          <t>Sem custo cadastrado da Marfel para esta gramatura — usado apenas o valor da Alquimia.</t>
        </is>
      </c>
    </row>
    <row r="237">
      <c r="A237" s="8" t="inlineStr">
        <is>
          <t>Alça Vazada</t>
        </is>
      </c>
      <c r="B237" s="9" t="inlineStr">
        <is>
          <t>50x60</t>
        </is>
      </c>
      <c r="C237" s="9" t="inlineStr">
        <is>
          <t>0,10</t>
        </is>
      </c>
      <c r="D237" s="9" t="inlineStr">
        <is>
          <t>300–399</t>
        </is>
      </c>
      <c r="E237" s="9" t="n">
        <v>300</v>
      </c>
      <c r="F237" s="10" t="n">
        <v>0</v>
      </c>
      <c r="G237" s="10" t="n">
        <v>0.795</v>
      </c>
      <c r="H237" s="10" t="n">
        <v>0.795</v>
      </c>
      <c r="I237" s="11" t="inlineStr">
        <is>
          <t>Alquimia (unico)</t>
        </is>
      </c>
      <c r="J237" s="10" t="n">
        <v>0.3</v>
      </c>
      <c r="K237" s="12">
        <f>J237*E237</f>
        <v/>
      </c>
      <c r="L237" s="12">
        <f>H237+J237</f>
        <v/>
      </c>
      <c r="M237" s="13" t="n">
        <v>0.7</v>
      </c>
      <c r="N237" s="12">
        <f>L237*(1+M237)</f>
        <v/>
      </c>
      <c r="O237" s="14" t="inlineStr">
        <is>
          <t>Sem custo cadastrado da Marfel para esta gramatura — usado apenas o valor da Alquimia.</t>
        </is>
      </c>
    </row>
    <row r="238">
      <c r="A238" s="8" t="inlineStr">
        <is>
          <t>Alça Vazada</t>
        </is>
      </c>
      <c r="B238" s="9" t="inlineStr">
        <is>
          <t>50x60</t>
        </is>
      </c>
      <c r="C238" s="9" t="inlineStr">
        <is>
          <t>0,10</t>
        </is>
      </c>
      <c r="D238" s="9" t="inlineStr">
        <is>
          <t>400–499</t>
        </is>
      </c>
      <c r="E238" s="9" t="n">
        <v>400</v>
      </c>
      <c r="F238" s="10" t="n">
        <v>0</v>
      </c>
      <c r="G238" s="10" t="n">
        <v>0.795</v>
      </c>
      <c r="H238" s="10" t="n">
        <v>0.795</v>
      </c>
      <c r="I238" s="11" t="inlineStr">
        <is>
          <t>Alquimia (unico)</t>
        </is>
      </c>
      <c r="J238" s="10" t="n">
        <v>0.3</v>
      </c>
      <c r="K238" s="12">
        <f>J238*E238</f>
        <v/>
      </c>
      <c r="L238" s="12">
        <f>H238+J238</f>
        <v/>
      </c>
      <c r="M238" s="13" t="n">
        <v>0.65</v>
      </c>
      <c r="N238" s="12">
        <f>L238*(1+M238)</f>
        <v/>
      </c>
      <c r="O238" s="14" t="inlineStr">
        <is>
          <t>Sem custo cadastrado da Marfel para esta gramatura — usado apenas o valor da Alquimia.</t>
        </is>
      </c>
    </row>
    <row r="239">
      <c r="A239" s="8" t="inlineStr">
        <is>
          <t>Alça Vazada</t>
        </is>
      </c>
      <c r="B239" s="9" t="inlineStr">
        <is>
          <t>50x60</t>
        </is>
      </c>
      <c r="C239" s="9" t="inlineStr">
        <is>
          <t>0,10</t>
        </is>
      </c>
      <c r="D239" s="9" t="inlineStr">
        <is>
          <t>500–599</t>
        </is>
      </c>
      <c r="E239" s="9" t="n">
        <v>500</v>
      </c>
      <c r="F239" s="10" t="n">
        <v>0</v>
      </c>
      <c r="G239" s="10" t="n">
        <v>0.795</v>
      </c>
      <c r="H239" s="10" t="n">
        <v>0.795</v>
      </c>
      <c r="I239" s="11" t="inlineStr">
        <is>
          <t>Alquimia (unico)</t>
        </is>
      </c>
      <c r="J239" s="10" t="n">
        <v>0.3</v>
      </c>
      <c r="K239" s="12">
        <f>J239*E239</f>
        <v/>
      </c>
      <c r="L239" s="12">
        <f>H239+J239</f>
        <v/>
      </c>
      <c r="M239" s="13" t="n">
        <v>0.6</v>
      </c>
      <c r="N239" s="12">
        <f>L239*(1+M239)</f>
        <v/>
      </c>
      <c r="O239" s="14" t="inlineStr">
        <is>
          <t>Sem custo cadastrado da Marfel para esta gramatura — usado apenas o valor da Alquimia.</t>
        </is>
      </c>
    </row>
    <row r="240">
      <c r="A240" s="8" t="inlineStr">
        <is>
          <t>Alça Vazada</t>
        </is>
      </c>
      <c r="B240" s="9" t="inlineStr">
        <is>
          <t>50x60</t>
        </is>
      </c>
      <c r="C240" s="9" t="inlineStr">
        <is>
          <t>0,10</t>
        </is>
      </c>
      <c r="D240" s="9" t="inlineStr">
        <is>
          <t>600–699</t>
        </is>
      </c>
      <c r="E240" s="9" t="n">
        <v>600</v>
      </c>
      <c r="F240" s="10" t="n">
        <v>0</v>
      </c>
      <c r="G240" s="10" t="n">
        <v>0.795</v>
      </c>
      <c r="H240" s="10" t="n">
        <v>0.795</v>
      </c>
      <c r="I240" s="11" t="inlineStr">
        <is>
          <t>Alquimia (unico)</t>
        </is>
      </c>
      <c r="J240" s="10" t="n">
        <v>0.3</v>
      </c>
      <c r="K240" s="12">
        <f>J240*E240</f>
        <v/>
      </c>
      <c r="L240" s="12">
        <f>H240+J240</f>
        <v/>
      </c>
      <c r="M240" s="13" t="n">
        <v>0.57</v>
      </c>
      <c r="N240" s="12">
        <f>L240*(1+M240)</f>
        <v/>
      </c>
      <c r="O240" s="14" t="inlineStr">
        <is>
          <t>Sem custo cadastrado da Marfel para esta gramatura — usado apenas o valor da Alquimia.</t>
        </is>
      </c>
    </row>
    <row r="241">
      <c r="A241" s="8" t="inlineStr">
        <is>
          <t>Alça Vazada</t>
        </is>
      </c>
      <c r="B241" s="9" t="inlineStr">
        <is>
          <t>50x60</t>
        </is>
      </c>
      <c r="C241" s="9" t="inlineStr">
        <is>
          <t>0,10</t>
        </is>
      </c>
      <c r="D241" s="9" t="inlineStr">
        <is>
          <t>700–799</t>
        </is>
      </c>
      <c r="E241" s="9" t="n">
        <v>700</v>
      </c>
      <c r="F241" s="10" t="n">
        <v>0</v>
      </c>
      <c r="G241" s="10" t="n">
        <v>0.795</v>
      </c>
      <c r="H241" s="10" t="n">
        <v>0.795</v>
      </c>
      <c r="I241" s="11" t="inlineStr">
        <is>
          <t>Alquimia (unico)</t>
        </is>
      </c>
      <c r="J241" s="10" t="n">
        <v>0.3</v>
      </c>
      <c r="K241" s="12">
        <f>J241*E241</f>
        <v/>
      </c>
      <c r="L241" s="12">
        <f>H241+J241</f>
        <v/>
      </c>
      <c r="M241" s="13" t="n">
        <v>0.54</v>
      </c>
      <c r="N241" s="12">
        <f>L241*(1+M241)</f>
        <v/>
      </c>
      <c r="O241" s="14" t="inlineStr">
        <is>
          <t>Sem custo cadastrado da Marfel para esta gramatura — usado apenas o valor da Alquimia.</t>
        </is>
      </c>
    </row>
    <row r="242">
      <c r="A242" s="8" t="inlineStr">
        <is>
          <t>Alça Vazada</t>
        </is>
      </c>
      <c r="B242" s="9" t="inlineStr">
        <is>
          <t>50x60</t>
        </is>
      </c>
      <c r="C242" s="9" t="inlineStr">
        <is>
          <t>0,10</t>
        </is>
      </c>
      <c r="D242" s="9" t="inlineStr">
        <is>
          <t>800–899</t>
        </is>
      </c>
      <c r="E242" s="9" t="n">
        <v>800</v>
      </c>
      <c r="F242" s="10" t="n">
        <v>0</v>
      </c>
      <c r="G242" s="10" t="n">
        <v>0.795</v>
      </c>
      <c r="H242" s="10" t="n">
        <v>0.795</v>
      </c>
      <c r="I242" s="11" t="inlineStr">
        <is>
          <t>Alquimia (unico)</t>
        </is>
      </c>
      <c r="J242" s="10" t="n">
        <v>0.3</v>
      </c>
      <c r="K242" s="12">
        <f>J242*E242</f>
        <v/>
      </c>
      <c r="L242" s="12">
        <f>H242+J242</f>
        <v/>
      </c>
      <c r="M242" s="13" t="n">
        <v>0.51</v>
      </c>
      <c r="N242" s="12">
        <f>L242*(1+M242)</f>
        <v/>
      </c>
      <c r="O242" s="14" t="inlineStr">
        <is>
          <t>Sem custo cadastrado da Marfel para esta gramatura — usado apenas o valor da Alquimia.</t>
        </is>
      </c>
    </row>
    <row r="243">
      <c r="A243" s="8" t="inlineStr">
        <is>
          <t>Alça Vazada</t>
        </is>
      </c>
      <c r="B243" s="9" t="inlineStr">
        <is>
          <t>50x60</t>
        </is>
      </c>
      <c r="C243" s="9" t="inlineStr">
        <is>
          <t>0,10</t>
        </is>
      </c>
      <c r="D243" s="9" t="inlineStr">
        <is>
          <t>900–999</t>
        </is>
      </c>
      <c r="E243" s="9" t="n">
        <v>900</v>
      </c>
      <c r="F243" s="10" t="n">
        <v>0</v>
      </c>
      <c r="G243" s="10" t="n">
        <v>0.795</v>
      </c>
      <c r="H243" s="10" t="n">
        <v>0.795</v>
      </c>
      <c r="I243" s="11" t="inlineStr">
        <is>
          <t>Alquimia (unico)</t>
        </is>
      </c>
      <c r="J243" s="10" t="n">
        <v>0.3</v>
      </c>
      <c r="K243" s="12">
        <f>J243*E243</f>
        <v/>
      </c>
      <c r="L243" s="12">
        <f>H243+J243</f>
        <v/>
      </c>
      <c r="M243" s="13" t="n">
        <v>0.48</v>
      </c>
      <c r="N243" s="12">
        <f>L243*(1+M243)</f>
        <v/>
      </c>
      <c r="O243" s="14" t="inlineStr">
        <is>
          <t>Sem custo cadastrado da Marfel para esta gramatura — usado apenas o valor da Alquimia.</t>
        </is>
      </c>
    </row>
    <row r="244">
      <c r="A244" s="8" t="inlineStr">
        <is>
          <t>Alça Vazada</t>
        </is>
      </c>
      <c r="B244" s="9" t="inlineStr">
        <is>
          <t>50x60</t>
        </is>
      </c>
      <c r="C244" s="9" t="inlineStr">
        <is>
          <t>0,10</t>
        </is>
      </c>
      <c r="D244" s="9" t="inlineStr">
        <is>
          <t>1000+</t>
        </is>
      </c>
      <c r="E244" s="9" t="n">
        <v>1000</v>
      </c>
      <c r="F244" s="10" t="n">
        <v>0</v>
      </c>
      <c r="G244" s="10" t="n">
        <v>0.795</v>
      </c>
      <c r="H244" s="10" t="n">
        <v>0.795</v>
      </c>
      <c r="I244" s="11" t="inlineStr">
        <is>
          <t>Alquimia (unico)</t>
        </is>
      </c>
      <c r="J244" s="10" t="n">
        <v>0.3</v>
      </c>
      <c r="K244" s="12">
        <f>J244*E244</f>
        <v/>
      </c>
      <c r="L244" s="12">
        <f>H244+J244</f>
        <v/>
      </c>
      <c r="M244" s="13" t="n">
        <v>0.4</v>
      </c>
      <c r="N244" s="12">
        <f>L244*(1+M244)</f>
        <v/>
      </c>
      <c r="O244" s="14" t="inlineStr">
        <is>
          <t>Sem custo cadastrado da Marfel para esta gramatura — usado apenas o valor da Alquimia.</t>
        </is>
      </c>
    </row>
  </sheetData>
  <mergeCells count="2">
    <mergeCell ref="A2:Q2"/>
    <mergeCell ref="A1:Q1"/>
  </mergeCells>
  <conditionalFormatting sqref="I5:I244">
    <cfRule type="expression" priority="1" dxfId="0">
      <formula>ISNUMBER(SEARCH("único",I5))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</cols>
  <sheetData>
    <row r="1">
      <c r="A1" s="7" t="inlineStr">
        <is>
          <t>PREÇOS ANTIGOS — DESATIVADOS, NÃO APAGADOS</t>
        </is>
      </c>
    </row>
    <row r="2">
      <c r="A2" s="6" t="inlineStr">
        <is>
          <t>Estes preços misturavam todas as gramaturas de um Modelo+Tamanho em um único valor. Foram substituídos pelos preços específicos por gramatura na aba 'Auditoria por Gramatura', mas ficam preservados aqui (campo ativo=false no banco) para histórico — nada foi apagado.</t>
        </is>
      </c>
    </row>
    <row r="4">
      <c r="A4" s="1" t="inlineStr">
        <is>
          <t>Produto</t>
        </is>
      </c>
      <c r="B4" s="1" t="inlineStr">
        <is>
          <t>Tamanho</t>
        </is>
      </c>
      <c r="C4" s="1" t="inlineStr">
        <is>
          <t>Gramaturas que existiam misturadas neste preço</t>
        </is>
      </c>
    </row>
    <row r="5">
      <c r="A5" s="15" t="inlineStr">
        <is>
          <t>Alça Camiseta</t>
        </is>
      </c>
      <c r="B5" s="15" t="inlineStr">
        <is>
          <t>30x40</t>
        </is>
      </c>
      <c r="C5" s="15" t="inlineStr">
        <is>
          <t>0,04-0,06, 0,05, 0,06</t>
        </is>
      </c>
    </row>
    <row r="6">
      <c r="A6" s="15" t="inlineStr">
        <is>
          <t>Alça Camiseta</t>
        </is>
      </c>
      <c r="B6" s="15" t="inlineStr">
        <is>
          <t>40x50</t>
        </is>
      </c>
      <c r="C6" s="15" t="inlineStr">
        <is>
          <t>0,05, 0,06</t>
        </is>
      </c>
    </row>
    <row r="7">
      <c r="A7" s="15" t="inlineStr">
        <is>
          <t>Alça Camiseta</t>
        </is>
      </c>
      <c r="B7" s="15" t="inlineStr">
        <is>
          <t>45x60</t>
        </is>
      </c>
      <c r="C7" s="15" t="inlineStr">
        <is>
          <t>0,05, 0,06</t>
        </is>
      </c>
    </row>
    <row r="8">
      <c r="A8" s="15" t="inlineStr">
        <is>
          <t>Alça Camiseta</t>
        </is>
      </c>
      <c r="B8" s="15" t="inlineStr">
        <is>
          <t>60x80</t>
        </is>
      </c>
      <c r="C8" s="15" t="inlineStr">
        <is>
          <t>0,06, 0,07</t>
        </is>
      </c>
    </row>
    <row r="9">
      <c r="A9" s="15" t="inlineStr">
        <is>
          <t>Alça Fita</t>
        </is>
      </c>
      <c r="B9" s="15" t="inlineStr">
        <is>
          <t>30x45</t>
        </is>
      </c>
      <c r="C9" s="15" t="inlineStr">
        <is>
          <t>0,13, 0,15</t>
        </is>
      </c>
    </row>
    <row r="10">
      <c r="A10" s="15" t="inlineStr">
        <is>
          <t>Alça Fita</t>
        </is>
      </c>
      <c r="B10" s="15" t="inlineStr">
        <is>
          <t>40x50</t>
        </is>
      </c>
      <c r="C10" s="15" t="inlineStr">
        <is>
          <t>0,13, 0,15</t>
        </is>
      </c>
    </row>
    <row r="11">
      <c r="A11" s="15" t="inlineStr">
        <is>
          <t>Alça Fita</t>
        </is>
      </c>
      <c r="B11" s="15" t="inlineStr">
        <is>
          <t>45x55</t>
        </is>
      </c>
      <c r="C11" s="15" t="inlineStr">
        <is>
          <t>0,13, 0,15</t>
        </is>
      </c>
    </row>
    <row r="12">
      <c r="A12" s="15" t="inlineStr">
        <is>
          <t>Alça Vazada</t>
        </is>
      </c>
      <c r="B12" s="15" t="inlineStr">
        <is>
          <t>40x50</t>
        </is>
      </c>
      <c r="C12" s="15" t="inlineStr">
        <is>
          <t>0,08, 0,10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INCONSISTÊNCIAS IDENTIFICADAS NA AUDITORIA POR GRAMATURA</t>
        </is>
      </c>
    </row>
    <row r="3">
      <c r="A3" s="22" t="inlineStr">
        <is>
          <t>Produto / Gramatura</t>
        </is>
      </c>
      <c r="B3" s="22" t="inlineStr">
        <is>
          <t>Descrição da inconsistência</t>
        </is>
      </c>
    </row>
    <row r="4" ht="45" customHeight="1">
      <c r="A4" s="8" t="inlineStr">
        <is>
          <t>Alça Camiseta 30x40 — 0,04-0,06g</t>
        </is>
      </c>
      <c r="B4" s="8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  <c r="C4" s="23" t="n"/>
      <c r="D4" s="23" t="n"/>
    </row>
    <row r="5" ht="45" customHeight="1">
      <c r="A5" s="8" t="inlineStr">
        <is>
          <t>Alça Camiseta 30x40 — 0,05g</t>
        </is>
      </c>
      <c r="B5" s="8" t="inlineStr">
        <is>
          <t>Sem custo cadastrado da Alquimia para esta gramatura — usado apenas o valor da Marfel.</t>
        </is>
      </c>
      <c r="C5" s="23" t="n"/>
      <c r="D5" s="23" t="n"/>
    </row>
    <row r="6" ht="45" customHeight="1">
      <c r="A6" s="8" t="inlineStr">
        <is>
          <t>Alça Camiseta 30x40 — 0,06g</t>
        </is>
      </c>
      <c r="B6" s="8" t="inlineStr">
        <is>
          <t>Sem custo cadastrado da Marfel para esta gramatura — usado apenas o valor da Alquimia.</t>
        </is>
      </c>
      <c r="C6" s="23" t="n"/>
      <c r="D6" s="23" t="n"/>
    </row>
    <row r="7" ht="45" customHeight="1">
      <c r="A7" s="8" t="inlineStr">
        <is>
          <t>Alça Camiseta 40x50 — 0,06g</t>
        </is>
      </c>
      <c r="B7" s="8" t="inlineStr">
        <is>
          <t>Sem custo cadastrado da Marfel para esta gramatura — usado apenas o valor da Alquimia.</t>
        </is>
      </c>
      <c r="C7" s="23" t="n"/>
      <c r="D7" s="23" t="n"/>
    </row>
    <row r="8" ht="45" customHeight="1">
      <c r="A8" s="8" t="inlineStr">
        <is>
          <t>Alça Camiseta 45x60 — 0,06g</t>
        </is>
      </c>
      <c r="B8" s="8" t="inlineStr">
        <is>
          <t>Sem custo cadastrado da Marfel para esta gramatura — usado apenas o valor da Alquimia.</t>
        </is>
      </c>
      <c r="C8" s="23" t="n"/>
      <c r="D8" s="23" t="n"/>
    </row>
    <row r="9" ht="45" customHeight="1">
      <c r="A9" s="8" t="inlineStr">
        <is>
          <t>Alça Camiseta 60x80 — 0,06g</t>
        </is>
      </c>
      <c r="B9" s="8" t="inlineStr">
        <is>
          <t>Sem custo cadastrado da Alquimia para esta gramatura — usado apenas o valor da Marfel.</t>
        </is>
      </c>
      <c r="C9" s="23" t="n"/>
      <c r="D9" s="23" t="n"/>
    </row>
    <row r="10" ht="45" customHeight="1">
      <c r="A10" s="8" t="inlineStr">
        <is>
          <t>Alça Camiseta 60x80 — 0,07g</t>
        </is>
      </c>
      <c r="B10" s="8" t="inlineStr">
        <is>
          <t>Sem custo cadastrado da Marfel para esta gramatura — usado apenas o valor da Alquimia.</t>
        </is>
      </c>
      <c r="C10" s="23" t="n"/>
      <c r="D10" s="23" t="n"/>
    </row>
    <row r="11" ht="45" customHeight="1">
      <c r="A11" s="8" t="inlineStr">
        <is>
          <t>Alça Fita 30x45 — 0,13g</t>
        </is>
      </c>
      <c r="B11" s="8" t="inlineStr">
        <is>
          <t>Sem custo cadastrado da Alquimia para esta gramatura — usado apenas o valor da Marfel.</t>
        </is>
      </c>
      <c r="C11" s="23" t="n"/>
      <c r="D11" s="23" t="n"/>
    </row>
    <row r="12" ht="45" customHeight="1">
      <c r="A12" s="8" t="inlineStr">
        <is>
          <t>Alça Fita 40x50 — 0,13g</t>
        </is>
      </c>
      <c r="B12" s="8" t="inlineStr">
        <is>
          <t>Sem custo cadastrado da Alquimia para esta gramatura — usado apenas o valor da Marfel.</t>
        </is>
      </c>
      <c r="C12" s="23" t="n"/>
      <c r="D12" s="23" t="n"/>
    </row>
    <row r="13" ht="45" customHeight="1">
      <c r="A13" s="8" t="inlineStr">
        <is>
          <t>Alça Fita 45x55 — 0,13g</t>
        </is>
      </c>
      <c r="B13" s="8" t="inlineStr">
        <is>
          <t>Sem custo cadastrado da Alquimia para esta gramatura — usado apenas o valor da Marfel.</t>
        </is>
      </c>
      <c r="C13" s="23" t="n"/>
      <c r="D13" s="23" t="n"/>
    </row>
    <row r="14" ht="45" customHeight="1">
      <c r="A14" s="8" t="inlineStr">
        <is>
          <t>Alça Vazada 40x50 — 0,08g</t>
        </is>
      </c>
      <c r="B14" s="8" t="inlineStr">
        <is>
          <t>Sem custo cadastrado da Marfel para esta gramatura — usado apenas o valor da Alquimia.</t>
        </is>
      </c>
      <c r="C14" s="23" t="n"/>
      <c r="D14" s="23" t="n"/>
    </row>
    <row r="15" ht="45" customHeight="1">
      <c r="A15" s="8" t="inlineStr">
        <is>
          <t>Alça Vazada 40x50 — 0,10g</t>
        </is>
      </c>
      <c r="B15" s="8" t="inlineStr">
        <is>
          <t>Sem custo cadastrado da Alquimia para esta gramatura — usado apenas o valor da Marfel.</t>
        </is>
      </c>
      <c r="C15" s="23" t="n"/>
      <c r="D15" s="23" t="n"/>
    </row>
    <row r="16" ht="45" customHeight="1">
      <c r="A16" s="8" t="inlineStr">
        <is>
          <t>Alça Vazada 45x60 — 0,12g</t>
        </is>
      </c>
      <c r="B16" s="8" t="inlineStr">
        <is>
          <t>Sem custo cadastrado da Alquimia para esta gramatura — usado apenas o valor da Marfel.</t>
        </is>
      </c>
      <c r="C16" s="23" t="n"/>
      <c r="D16" s="23" t="n"/>
    </row>
    <row r="17" ht="45" customHeight="1">
      <c r="A17" s="8" t="inlineStr">
        <is>
          <t>Alça Vazada 50x60 — 0,10g</t>
        </is>
      </c>
      <c r="B17" s="8" t="inlineStr">
        <is>
          <t>Sem custo cadastrado da Marfel para esta gramatura — usado apenas o valor da Alquimia.</t>
        </is>
      </c>
      <c r="C17" s="23" t="n"/>
      <c r="D17" s="23" t="n"/>
    </row>
    <row r="19">
      <c r="A19" s="7" t="inlineStr">
        <is>
          <t>Resultado da revisão financeira</t>
        </is>
      </c>
    </row>
    <row r="20" ht="26" customHeight="1">
      <c r="A20" s="24" t="inlineStr">
        <is>
          <t>✔ 24 grupos Modelo+Tamanho+Gramatura auditados, 240 linhas de preço no total.</t>
        </is>
      </c>
    </row>
    <row r="21" ht="26" customHeight="1">
      <c r="A21" s="24" t="inlineStr">
        <is>
          <t>✔ Maior custo entre Marfel e Alquimia usado em 100% das linhas, agora específico de cada gramatura (nunca média, nunca o menor, nunca misturando gramaturas).</t>
        </is>
      </c>
    </row>
    <row r="22" ht="26" customHeight="1">
      <c r="A22" s="24" t="inlineStr">
        <is>
          <t>✔ Acréscimo operacional de R$0,30/unidade aplicado em 100% das linhas, antes da margem.</t>
        </is>
      </c>
    </row>
    <row r="23" ht="26" customHeight="1">
      <c r="A23" s="24" t="inlineStr">
        <is>
          <t>✔ Margem aplicada somente sobre (custo + acréscimo), nunca sobre o custo puro.</t>
        </is>
      </c>
    </row>
    <row r="24" ht="26" customHeight="1">
      <c r="A24" s="24" t="inlineStr">
        <is>
          <t>✔ Os 10 percentuais fixos (100/75/70/65/60/57/54/51/48/40%) aplicados na ordem correta em todos os grupos.</t>
        </is>
      </c>
    </row>
    <row r="25" ht="26" customHeight="1">
      <c r="A25" s="24" t="inlineStr">
        <is>
          <t>⚠ 14 linhas de grupo sinalizadas em amarelo — custo de apenas 1 fornecedor para aquela gramatura, ou gramatura cadastrada como faixa ambígua.</t>
        </is>
      </c>
    </row>
    <row r="26" ht="26" customHeight="1">
      <c r="A26" s="24" t="inlineStr">
        <is>
          <t>✔ 8 produtos tinham mais de uma gramatura e foram desdobrados em preços específicos; os 7 restantes têm 1 única gramatura (preço mantido, apenas com a gramatura agora identificada).</t>
        </is>
      </c>
    </row>
    <row r="27" ht="26" customHeight="1">
      <c r="A27" s="24" t="inlineStr">
        <is>
          <t>✔ Preços antigos (cegos para gramatura) desativados, não apagados — ver aba 'Preços Legados (Desativados)'.</t>
        </is>
      </c>
    </row>
  </sheetData>
  <mergeCells count="24">
    <mergeCell ref="B11:D11"/>
    <mergeCell ref="A23:D23"/>
    <mergeCell ref="B14:D14"/>
    <mergeCell ref="A22:D22"/>
    <mergeCell ref="B8:D8"/>
    <mergeCell ref="A20:D20"/>
    <mergeCell ref="B17:D17"/>
    <mergeCell ref="B13:D13"/>
    <mergeCell ref="B10:D10"/>
    <mergeCell ref="B9:D9"/>
    <mergeCell ref="A24:D24"/>
    <mergeCell ref="B15:D15"/>
    <mergeCell ref="B6:D6"/>
    <mergeCell ref="A1:D1"/>
    <mergeCell ref="B5:D5"/>
    <mergeCell ref="B4:D4"/>
    <mergeCell ref="A25:D25"/>
    <mergeCell ref="B7:D7"/>
    <mergeCell ref="B16:D16"/>
    <mergeCell ref="B3:D3"/>
    <mergeCell ref="A27:D27"/>
    <mergeCell ref="A26:D26"/>
    <mergeCell ref="A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2026-07-01T22:41:24Z</dcterms:created>
  <dcterms:modified xmlns:dcterms="http://purl.org/dc/terms/" xmlns:xsi="http://www.w3.org/2001/XMLSchema-instance" xsi:type="dcterms:W3CDTF">2026-07-01T22:41:25Z</dcterms:modified>
</cp:coreProperties>
</file>