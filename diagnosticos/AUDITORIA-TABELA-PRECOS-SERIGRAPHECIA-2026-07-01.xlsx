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 Fornecedores" sheetId="1" state="visible" r:id="rId3"/>
    <sheet name="Auditoria de Preços" sheetId="2" state="visible" r:id="rId4"/>
    <sheet name="Inconsistê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<sst xmlns="http://schemas.openxmlformats.org/spreadsheetml/2006/main" count="765" uniqueCount="84">
  <si>
    <t xml:space="preserve">Fornecedor</t>
  </si>
  <si>
    <t xml:space="preserve">Modelo</t>
  </si>
  <si>
    <t xml:space="preserve">Tamanho</t>
  </si>
  <si>
    <t xml:space="preserve">Cor</t>
  </si>
  <si>
    <t xml:space="preserve">Gramatura</t>
  </si>
  <si>
    <t xml:space="preserve">Preço/Kg (R$)</t>
  </si>
  <si>
    <t xml:space="preserve">Peso Milheiro (kg)</t>
  </si>
  <si>
    <t xml:space="preserve">Custo Milheiro (R$)</t>
  </si>
  <si>
    <t xml:space="preserve">Custo Unitário (R$/un)</t>
  </si>
  <si>
    <t xml:space="preserve">Alquimia</t>
  </si>
  <si>
    <t xml:space="preserve">Alça Camiseta</t>
  </si>
  <si>
    <t xml:space="preserve">30x40</t>
  </si>
  <si>
    <t xml:space="preserve">Branco/Preto</t>
  </si>
  <si>
    <t xml:space="preserve">0,04-0,06</t>
  </si>
  <si>
    <t xml:space="preserve">Marfel</t>
  </si>
  <si>
    <t xml:space="preserve">0,05</t>
  </si>
  <si>
    <t xml:space="preserve">Colorida</t>
  </si>
  <si>
    <t xml:space="preserve">0,06</t>
  </si>
  <si>
    <t xml:space="preserve">40x50</t>
  </si>
  <si>
    <t xml:space="preserve">45x60</t>
  </si>
  <si>
    <t xml:space="preserve">50x70</t>
  </si>
  <si>
    <t xml:space="preserve">60x80</t>
  </si>
  <si>
    <t xml:space="preserve">0,07</t>
  </si>
  <si>
    <t xml:space="preserve">Alça Fita</t>
  </si>
  <si>
    <t xml:space="preserve">27x40</t>
  </si>
  <si>
    <t xml:space="preserve">0,15</t>
  </si>
  <si>
    <t xml:space="preserve">Diversas cores</t>
  </si>
  <si>
    <t xml:space="preserve">Ouro/Rosa Neon</t>
  </si>
  <si>
    <t xml:space="preserve">30x45</t>
  </si>
  <si>
    <t xml:space="preserve">0,13</t>
  </si>
  <si>
    <t xml:space="preserve">45x55</t>
  </si>
  <si>
    <t xml:space="preserve">Alça Vazada</t>
  </si>
  <si>
    <t xml:space="preserve">20x30</t>
  </si>
  <si>
    <t xml:space="preserve">0,08</t>
  </si>
  <si>
    <t xml:space="preserve">25x35</t>
  </si>
  <si>
    <t xml:space="preserve">Colorida (transp.)</t>
  </si>
  <si>
    <t xml:space="preserve">0,10</t>
  </si>
  <si>
    <t xml:space="preserve">0,12</t>
  </si>
  <si>
    <t xml:space="preserve">50x60</t>
  </si>
  <si>
    <t xml:space="preserve">Fonte: FornecedorCusto (banco de dados). Custo Unitário = Custo Milheiro ÷ 1000. Quando um Modelo+Tamanho tem várias cores, usa-se o MAIOR custo entre elas por fornecedor (critério conservador de segurança financeira).</t>
  </si>
  <si>
    <t xml:space="preserve">AUDITORIA PROFISSIONAL DE TABELA DE PREÇOS — Serigraph e Cia</t>
  </si>
  <si>
    <t xml:space="preserve">Regra: sempre o MAIOR custo entre Marfel e Alquimia (nunca média, nunca o menor) · + R$0,30/un de acréscimo operacional aplicado ANTES da margem · margem aplicada por faixa de quantidade (100% → 40%, da menor para a maior)</t>
  </si>
  <si>
    <t xml:space="preserve">Produto</t>
  </si>
  <si>
    <t xml:space="preserve">Faixa de Quantidade</t>
  </si>
  <si>
    <t xml:space="preserve">Qtd. de referência</t>
  </si>
  <si>
    <t xml:space="preserve">Valor Marfel (R$/un)</t>
  </si>
  <si>
    <t xml:space="preserve">Valor Alquimia (R$/un)</t>
  </si>
  <si>
    <t xml:space="preserve">Maior valor utilizado (R$/un)</t>
  </si>
  <si>
    <t xml:space="preserve">Fornecedor utilizado</t>
  </si>
  <si>
    <t xml:space="preserve">Acréscimo operacional (R$/un)</t>
  </si>
  <si>
    <t xml:space="preserve">Acréscimo operacional (R$0,30 × qtd.)</t>
  </si>
  <si>
    <t xml:space="preserve">Custo total atualizado (R$/un)</t>
  </si>
  <si>
    <t xml:space="preserve">Percentual aplicado</t>
  </si>
  <si>
    <t xml:space="preserve">Preço final de venda (R$/un)</t>
  </si>
  <si>
    <t xml:space="preserve">Preço atual na tabela (R$/un)</t>
  </si>
  <si>
    <t xml:space="preserve">Diferença (Novo − Atual)</t>
  </si>
  <si>
    <t xml:space="preserve">Observações</t>
  </si>
  <si>
    <t xml:space="preserve">100–199</t>
  </si>
  <si>
    <t xml:space="preserve">200–299</t>
  </si>
  <si>
    <t xml:space="preserve">300–399</t>
  </si>
  <si>
    <t xml:space="preserve">400–499</t>
  </si>
  <si>
    <t xml:space="preserve">500–599</t>
  </si>
  <si>
    <t xml:space="preserve">600–699</t>
  </si>
  <si>
    <t xml:space="preserve">700–799</t>
  </si>
  <si>
    <t xml:space="preserve">800–899</t>
  </si>
  <si>
    <t xml:space="preserve">900–999</t>
  </si>
  <si>
    <t xml:space="preserve">1000+</t>
  </si>
  <si>
    <t xml:space="preserve">INCONSISTÊNCIAS IDENTIFICADAS NA AUDITORIA</t>
  </si>
  <si>
    <t xml:space="preserve">Produto / Tema</t>
  </si>
  <si>
    <t xml:space="preserve">Descrição da inconsistência e recomendação</t>
  </si>
  <si>
    <t xml:space="preserve">Alça Vazada 45x60</t>
  </si>
  <si>
    <t xml:space="preserve">Custo cadastrado apenas para a Marfel (nenhum registro de custo da Alquimia para este tamanho). O 'maior valor' usado nesta faixa é, na prática, o único valor disponível — não há comparação real entre fornecedores. Recomenda-se cadastrar o custo da Alquimia para este tamanho assim que possível.</t>
  </si>
  <si>
    <t xml:space="preserve">Alça Vazada 50x60</t>
  </si>
  <si>
    <t xml:space="preserve">Custo cadastrado apenas para a Alquimia (nenhum registro de custo da Marfel para este tamanho). Mesma situação do item acima, em sentido inverso — recomenda-se cadastrar o custo da Marfel.</t>
  </si>
  <si>
    <t xml:space="preserve">Taxonomia de cores</t>
  </si>
  <si>
    <t xml:space="preserve">Marfel e Alquimia usam nomes de cor diferentes para o mesmo produto (ex.: uma cadastra 'Branco/Preto', outra pode cadastrar por tonalidade individual). Para não subestimar o custo, a auditoria usa o MAIOR custo entre TODAS as cores cadastradas de cada fornecedor, por Modelo+Tamanho — e não uma cor específica. Isso é intencionalmente conservador: garante que nenhum custo real fique de fora do cálculo.</t>
  </si>
  <si>
    <t xml:space="preserve">Resultado da revisão financeira (ETAPA 6)</t>
  </si>
  <si>
    <t xml:space="preserve">✔ Maior custo entre Marfel e Alquimia usado em 100% das 150 linhas (nunca média, nunca o menor).</t>
  </si>
  <si>
    <t xml:space="preserve">✔ Acréscimo operacional de R$0,30/unidade aplicado em 100% das linhas, antes da margem.</t>
  </si>
  <si>
    <t xml:space="preserve">✔ Margem aplicada somente sobre (custo + acréscimo), nunca sobre o custo puro.</t>
  </si>
  <si>
    <t xml:space="preserve">✔ Os 10 percentuais fixos (100/75/70/65/60/57/54/51/48/40%) aplicados na ordem correta, da menor para a maior faixa de quantidade, em todos os 15 produtos.</t>
  </si>
  <si>
    <t xml:space="preserve">✔ Nenhuma linha ficou com preço final abaixo do custo total (nenhum risco de prejuízo identificado nos preços propostos).</t>
  </si>
  <si>
    <t xml:space="preserve">⚠ 20 das 150 linhas (2 produtos: Alça Vazada 45x60 e 50x60) têm custo de apenas 1 fornecedor — sinalizadas em amarelo na aba 'Auditoria de Preços' e detalhadas acima.</t>
  </si>
  <si>
    <t xml:space="preserve">✔ Todos os valores arredondados em 2 casas decimais na exibição; cálculo interno mantém precisão total via fórmulas do Excel.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</si>
</sst>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00"/>
    <numFmt numFmtId="166" formatCode="#,##0.000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4"/>
      <color rgb="FF1F2937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9" min="7" style="0" width="15"/>
  </cols>
  <sheetData>
    <row r="1" customFormat="false" ht="20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23</v>
      </c>
      <c r="G2" s="4" t="n">
        <v>4.4</v>
      </c>
      <c r="H2" s="3" t="n">
        <v>101.2</v>
      </c>
      <c r="I2" s="5" t="n">
        <f aca="false">H2/1000</f>
        <v>0.1012</v>
      </c>
    </row>
    <row r="3" customFormat="false" ht="15" hidden="false" customHeight="false" outlineLevel="0" collapsed="false">
      <c r="A3" s="2" t="s">
        <v>14</v>
      </c>
      <c r="B3" s="2" t="s">
        <v>10</v>
      </c>
      <c r="C3" s="2" t="s">
        <v>11</v>
      </c>
      <c r="D3" s="2" t="s">
        <v>12</v>
      </c>
      <c r="E3" s="2" t="s">
        <v>15</v>
      </c>
      <c r="F3" s="3" t="n">
        <v>31</v>
      </c>
      <c r="G3" s="4" t="n">
        <v>5</v>
      </c>
      <c r="H3" s="3" t="n">
        <v>155</v>
      </c>
      <c r="I3" s="5" t="n">
        <f aca="false">H3/1000</f>
        <v>0.155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  <c r="D4" s="2" t="s">
        <v>16</v>
      </c>
      <c r="E4" s="2" t="s">
        <v>17</v>
      </c>
      <c r="F4" s="3" t="n">
        <v>26.5</v>
      </c>
      <c r="G4" s="4" t="n">
        <v>6.2</v>
      </c>
      <c r="H4" s="3" t="n">
        <v>164.3</v>
      </c>
      <c r="I4" s="5" t="n">
        <f aca="false">H4/1000</f>
        <v>0.1643</v>
      </c>
    </row>
    <row r="5" customFormat="false" ht="15" hidden="false" customHeight="false" outlineLevel="0" collapsed="false">
      <c r="A5" s="2" t="s">
        <v>14</v>
      </c>
      <c r="B5" s="2" t="s">
        <v>10</v>
      </c>
      <c r="C5" s="2" t="s">
        <v>11</v>
      </c>
      <c r="D5" s="2" t="s">
        <v>16</v>
      </c>
      <c r="E5" s="2" t="s">
        <v>15</v>
      </c>
      <c r="F5" s="3" t="n">
        <v>34.2</v>
      </c>
      <c r="G5" s="4" t="n">
        <v>5</v>
      </c>
      <c r="H5" s="3" t="n">
        <v>171</v>
      </c>
      <c r="I5" s="5" t="n">
        <f aca="false">H5/1000</f>
        <v>0.171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s">
        <v>18</v>
      </c>
      <c r="D6" s="2" t="s">
        <v>12</v>
      </c>
      <c r="E6" s="2" t="s">
        <v>15</v>
      </c>
      <c r="F6" s="3" t="n">
        <v>23</v>
      </c>
      <c r="G6" s="4" t="n">
        <v>9</v>
      </c>
      <c r="H6" s="3" t="n">
        <v>207</v>
      </c>
      <c r="I6" s="5" t="n">
        <f aca="false">H6/1000</f>
        <v>0.207</v>
      </c>
    </row>
    <row r="7" customFormat="false" ht="15" hidden="false" customHeight="false" outlineLevel="0" collapsed="false">
      <c r="A7" s="2" t="s">
        <v>14</v>
      </c>
      <c r="B7" s="2" t="s">
        <v>10</v>
      </c>
      <c r="C7" s="2" t="s">
        <v>18</v>
      </c>
      <c r="D7" s="2" t="s">
        <v>12</v>
      </c>
      <c r="E7" s="2" t="s">
        <v>15</v>
      </c>
      <c r="F7" s="3" t="n">
        <v>31</v>
      </c>
      <c r="G7" s="4" t="n">
        <v>9</v>
      </c>
      <c r="H7" s="3" t="n">
        <v>279</v>
      </c>
      <c r="I7" s="5" t="n">
        <f aca="false">H7/1000</f>
        <v>0.279</v>
      </c>
    </row>
    <row r="8" customFormat="false" ht="15" hidden="false" customHeight="false" outlineLevel="0" collapsed="false">
      <c r="A8" s="2" t="s">
        <v>9</v>
      </c>
      <c r="B8" s="2" t="s">
        <v>10</v>
      </c>
      <c r="C8" s="2" t="s">
        <v>18</v>
      </c>
      <c r="D8" s="2" t="s">
        <v>16</v>
      </c>
      <c r="E8" s="2" t="s">
        <v>17</v>
      </c>
      <c r="F8" s="3" t="n">
        <v>26.5</v>
      </c>
      <c r="G8" s="4" t="n">
        <v>11</v>
      </c>
      <c r="H8" s="3" t="n">
        <v>291.5</v>
      </c>
      <c r="I8" s="5" t="n">
        <f aca="false">H8/1000</f>
        <v>0.2915</v>
      </c>
    </row>
    <row r="9" customFormat="false" ht="15" hidden="false" customHeight="false" outlineLevel="0" collapsed="false">
      <c r="A9" s="2" t="s">
        <v>14</v>
      </c>
      <c r="B9" s="2" t="s">
        <v>10</v>
      </c>
      <c r="C9" s="2" t="s">
        <v>18</v>
      </c>
      <c r="D9" s="2" t="s">
        <v>16</v>
      </c>
      <c r="E9" s="2" t="s">
        <v>15</v>
      </c>
      <c r="F9" s="3" t="n">
        <v>34.2</v>
      </c>
      <c r="G9" s="4" t="n">
        <v>9</v>
      </c>
      <c r="H9" s="3" t="n">
        <v>307.8</v>
      </c>
      <c r="I9" s="5" t="n">
        <f aca="false">H9/1000</f>
        <v>0.3078</v>
      </c>
    </row>
    <row r="10" customFormat="false" ht="15" hidden="false" customHeight="false" outlineLevel="0" collapsed="false">
      <c r="A10" s="2" t="s">
        <v>9</v>
      </c>
      <c r="B10" s="2" t="s">
        <v>10</v>
      </c>
      <c r="C10" s="2" t="s">
        <v>19</v>
      </c>
      <c r="D10" s="2" t="s">
        <v>12</v>
      </c>
      <c r="E10" s="2" t="s">
        <v>15</v>
      </c>
      <c r="F10" s="3" t="n">
        <v>23</v>
      </c>
      <c r="G10" s="4" t="n">
        <v>12.2</v>
      </c>
      <c r="H10" s="3" t="n">
        <v>280.6</v>
      </c>
      <c r="I10" s="5" t="n">
        <f aca="false">H10/1000</f>
        <v>0.2806</v>
      </c>
    </row>
    <row r="11" customFormat="false" ht="15" hidden="false" customHeight="false" outlineLevel="0" collapsed="false">
      <c r="A11" s="2" t="s">
        <v>14</v>
      </c>
      <c r="B11" s="2" t="s">
        <v>10</v>
      </c>
      <c r="C11" s="2" t="s">
        <v>19</v>
      </c>
      <c r="D11" s="2" t="s">
        <v>12</v>
      </c>
      <c r="E11" s="2" t="s">
        <v>15</v>
      </c>
      <c r="F11" s="3" t="n">
        <v>31</v>
      </c>
      <c r="G11" s="4" t="n">
        <v>13.5</v>
      </c>
      <c r="H11" s="3" t="n">
        <v>418.5</v>
      </c>
      <c r="I11" s="5" t="n">
        <f aca="false">H11/1000</f>
        <v>0.4185</v>
      </c>
    </row>
    <row r="12" customFormat="false" ht="15" hidden="false" customHeight="false" outlineLevel="0" collapsed="false">
      <c r="A12" s="2" t="s">
        <v>9</v>
      </c>
      <c r="B12" s="2" t="s">
        <v>10</v>
      </c>
      <c r="C12" s="2" t="s">
        <v>19</v>
      </c>
      <c r="D12" s="2" t="s">
        <v>16</v>
      </c>
      <c r="E12" s="2" t="s">
        <v>17</v>
      </c>
      <c r="F12" s="3" t="n">
        <v>26.5</v>
      </c>
      <c r="G12" s="4" t="n">
        <v>14</v>
      </c>
      <c r="H12" s="3" t="n">
        <v>322</v>
      </c>
      <c r="I12" s="5" t="n">
        <f aca="false">H12/1000</f>
        <v>0.322</v>
      </c>
    </row>
    <row r="13" customFormat="false" ht="15" hidden="false" customHeight="false" outlineLevel="0" collapsed="false">
      <c r="A13" s="2" t="s">
        <v>14</v>
      </c>
      <c r="B13" s="2" t="s">
        <v>10</v>
      </c>
      <c r="C13" s="2" t="s">
        <v>19</v>
      </c>
      <c r="D13" s="2" t="s">
        <v>16</v>
      </c>
      <c r="E13" s="2" t="s">
        <v>15</v>
      </c>
      <c r="F13" s="3" t="n">
        <v>34.2</v>
      </c>
      <c r="G13" s="4" t="n">
        <v>13.5</v>
      </c>
      <c r="H13" s="3" t="n">
        <v>461.7</v>
      </c>
      <c r="I13" s="5" t="n">
        <f aca="false">H13/1000</f>
        <v>0.4617</v>
      </c>
    </row>
    <row r="14" customFormat="false" ht="15" hidden="false" customHeight="false" outlineLevel="0" collapsed="false">
      <c r="A14" s="2" t="s">
        <v>9</v>
      </c>
      <c r="B14" s="2" t="s">
        <v>10</v>
      </c>
      <c r="C14" s="2" t="s">
        <v>20</v>
      </c>
      <c r="D14" s="2" t="s">
        <v>12</v>
      </c>
      <c r="E14" s="2" t="s">
        <v>17</v>
      </c>
      <c r="F14" s="3" t="n">
        <v>23</v>
      </c>
      <c r="G14" s="4" t="n">
        <v>18.9</v>
      </c>
      <c r="H14" s="3" t="n">
        <v>434.7</v>
      </c>
      <c r="I14" s="5" t="n">
        <f aca="false">H14/1000</f>
        <v>0.4347</v>
      </c>
    </row>
    <row r="15" customFormat="false" ht="15" hidden="false" customHeight="false" outlineLevel="0" collapsed="false">
      <c r="A15" s="2" t="s">
        <v>14</v>
      </c>
      <c r="B15" s="2" t="s">
        <v>10</v>
      </c>
      <c r="C15" s="2" t="s">
        <v>20</v>
      </c>
      <c r="D15" s="2" t="s">
        <v>12</v>
      </c>
      <c r="E15" s="2" t="s">
        <v>17</v>
      </c>
      <c r="F15" s="3" t="n">
        <v>31</v>
      </c>
      <c r="G15" s="4" t="n">
        <v>19</v>
      </c>
      <c r="H15" s="3" t="n">
        <v>589</v>
      </c>
      <c r="I15" s="5" t="n">
        <f aca="false">H15/1000</f>
        <v>0.589</v>
      </c>
    </row>
    <row r="16" customFormat="false" ht="15" hidden="false" customHeight="false" outlineLevel="0" collapsed="false">
      <c r="A16" s="2" t="s">
        <v>9</v>
      </c>
      <c r="B16" s="2" t="s">
        <v>10</v>
      </c>
      <c r="C16" s="2" t="s">
        <v>20</v>
      </c>
      <c r="D16" s="2" t="s">
        <v>16</v>
      </c>
      <c r="E16" s="2" t="s">
        <v>17</v>
      </c>
      <c r="F16" s="3" t="n">
        <v>26.5</v>
      </c>
      <c r="G16" s="4" t="n">
        <v>19</v>
      </c>
      <c r="H16" s="3" t="n">
        <v>371</v>
      </c>
      <c r="I16" s="5" t="n">
        <f aca="false">H16/1000</f>
        <v>0.371</v>
      </c>
    </row>
    <row r="17" customFormat="false" ht="15" hidden="false" customHeight="false" outlineLevel="0" collapsed="false">
      <c r="A17" s="2" t="s">
        <v>14</v>
      </c>
      <c r="B17" s="2" t="s">
        <v>10</v>
      </c>
      <c r="C17" s="2" t="s">
        <v>20</v>
      </c>
      <c r="D17" s="2" t="s">
        <v>16</v>
      </c>
      <c r="E17" s="2" t="s">
        <v>17</v>
      </c>
      <c r="F17" s="3" t="n">
        <v>34.2</v>
      </c>
      <c r="G17" s="4" t="n">
        <v>19</v>
      </c>
      <c r="H17" s="3" t="n">
        <v>649.8</v>
      </c>
      <c r="I17" s="5" t="n">
        <f aca="false">H17/1000</f>
        <v>0.6498</v>
      </c>
    </row>
    <row r="18" customFormat="false" ht="15" hidden="false" customHeight="false" outlineLevel="0" collapsed="false">
      <c r="A18" s="2" t="s">
        <v>9</v>
      </c>
      <c r="B18" s="2" t="s">
        <v>10</v>
      </c>
      <c r="C18" s="2" t="s">
        <v>21</v>
      </c>
      <c r="D18" s="2" t="s">
        <v>12</v>
      </c>
      <c r="E18" s="2" t="s">
        <v>22</v>
      </c>
      <c r="F18" s="3" t="n">
        <v>23</v>
      </c>
      <c r="G18" s="4" t="n">
        <v>30</v>
      </c>
      <c r="H18" s="3" t="n">
        <v>690</v>
      </c>
      <c r="I18" s="5" t="n">
        <f aca="false">H18/1000</f>
        <v>0.69</v>
      </c>
    </row>
    <row r="19" customFormat="false" ht="15" hidden="false" customHeight="false" outlineLevel="0" collapsed="false">
      <c r="A19" s="2" t="s">
        <v>14</v>
      </c>
      <c r="B19" s="2" t="s">
        <v>10</v>
      </c>
      <c r="C19" s="2" t="s">
        <v>21</v>
      </c>
      <c r="D19" s="2" t="s">
        <v>12</v>
      </c>
      <c r="E19" s="2" t="s">
        <v>17</v>
      </c>
      <c r="F19" s="3" t="n">
        <v>31</v>
      </c>
      <c r="G19" s="4" t="n">
        <v>28</v>
      </c>
      <c r="H19" s="3" t="n">
        <v>868</v>
      </c>
      <c r="I19" s="5" t="n">
        <f aca="false">H19/1000</f>
        <v>0.868</v>
      </c>
    </row>
    <row r="20" customFormat="false" ht="15" hidden="false" customHeight="false" outlineLevel="0" collapsed="false">
      <c r="A20" s="2" t="s">
        <v>9</v>
      </c>
      <c r="B20" s="2" t="s">
        <v>10</v>
      </c>
      <c r="C20" s="2" t="s">
        <v>21</v>
      </c>
      <c r="D20" s="2" t="s">
        <v>16</v>
      </c>
      <c r="E20" s="2" t="s">
        <v>22</v>
      </c>
      <c r="F20" s="3" t="n">
        <v>26.5</v>
      </c>
      <c r="G20" s="4" t="n">
        <v>30</v>
      </c>
      <c r="H20" s="3" t="n">
        <v>795</v>
      </c>
      <c r="I20" s="5" t="n">
        <f aca="false">H20/1000</f>
        <v>0.795</v>
      </c>
    </row>
    <row r="21" customFormat="false" ht="15" hidden="false" customHeight="false" outlineLevel="0" collapsed="false">
      <c r="A21" s="2" t="s">
        <v>14</v>
      </c>
      <c r="B21" s="2" t="s">
        <v>10</v>
      </c>
      <c r="C21" s="2" t="s">
        <v>21</v>
      </c>
      <c r="D21" s="2" t="s">
        <v>16</v>
      </c>
      <c r="E21" s="2" t="s">
        <v>17</v>
      </c>
      <c r="F21" s="3" t="n">
        <v>34.2</v>
      </c>
      <c r="G21" s="4" t="n">
        <v>28</v>
      </c>
      <c r="H21" s="3" t="n">
        <v>957.6</v>
      </c>
      <c r="I21" s="5" t="n">
        <f aca="false">H21/1000</f>
        <v>0.9576</v>
      </c>
    </row>
    <row r="22" customFormat="false" ht="15" hidden="false" customHeight="false" outlineLevel="0" collapsed="false">
      <c r="A22" s="2" t="s">
        <v>9</v>
      </c>
      <c r="B22" s="2" t="s">
        <v>23</v>
      </c>
      <c r="C22" s="2" t="s">
        <v>24</v>
      </c>
      <c r="D22" s="2" t="s">
        <v>12</v>
      </c>
      <c r="E22" s="2" t="s">
        <v>25</v>
      </c>
      <c r="F22" s="3" t="n">
        <v>28.75</v>
      </c>
      <c r="G22" s="4" t="n">
        <v>19</v>
      </c>
      <c r="H22" s="3" t="n">
        <v>546</v>
      </c>
      <c r="I22" s="5" t="n">
        <f aca="false">H22/1000</f>
        <v>0.546</v>
      </c>
    </row>
    <row r="23" customFormat="false" ht="15" hidden="false" customHeight="false" outlineLevel="0" collapsed="false">
      <c r="A23" s="2" t="s">
        <v>9</v>
      </c>
      <c r="B23" s="2" t="s">
        <v>23</v>
      </c>
      <c r="C23" s="2" t="s">
        <v>24</v>
      </c>
      <c r="D23" s="2" t="s">
        <v>16</v>
      </c>
      <c r="E23" s="2" t="s">
        <v>25</v>
      </c>
      <c r="F23" s="3" t="n">
        <v>29.9</v>
      </c>
      <c r="G23" s="4" t="n">
        <v>19</v>
      </c>
      <c r="H23" s="3" t="n">
        <v>568.1</v>
      </c>
      <c r="I23" s="5" t="n">
        <f aca="false">H23/1000</f>
        <v>0.5681</v>
      </c>
    </row>
    <row r="24" customFormat="false" ht="15" hidden="false" customHeight="false" outlineLevel="0" collapsed="false">
      <c r="A24" s="2" t="s">
        <v>14</v>
      </c>
      <c r="B24" s="2" t="s">
        <v>23</v>
      </c>
      <c r="C24" s="2" t="s">
        <v>24</v>
      </c>
      <c r="D24" s="2" t="s">
        <v>26</v>
      </c>
      <c r="E24" s="2" t="s">
        <v>25</v>
      </c>
      <c r="F24" s="3" t="n">
        <v>38.7</v>
      </c>
      <c r="G24" s="4" t="n">
        <v>19</v>
      </c>
      <c r="H24" s="3" t="n">
        <v>735.3</v>
      </c>
      <c r="I24" s="5" t="n">
        <f aca="false">H24/1000</f>
        <v>0.7353</v>
      </c>
    </row>
    <row r="25" customFormat="false" ht="15" hidden="false" customHeight="false" outlineLevel="0" collapsed="false">
      <c r="A25" s="2" t="s">
        <v>14</v>
      </c>
      <c r="B25" s="2" t="s">
        <v>23</v>
      </c>
      <c r="C25" s="2" t="s">
        <v>24</v>
      </c>
      <c r="D25" s="2" t="s">
        <v>27</v>
      </c>
      <c r="E25" s="2" t="s">
        <v>25</v>
      </c>
      <c r="F25" s="3" t="n">
        <v>43.2</v>
      </c>
      <c r="G25" s="4" t="n">
        <v>19</v>
      </c>
      <c r="H25" s="3" t="n">
        <v>820.8</v>
      </c>
      <c r="I25" s="5" t="n">
        <f aca="false">H25/1000</f>
        <v>0.8208</v>
      </c>
    </row>
    <row r="26" customFormat="false" ht="15" hidden="false" customHeight="false" outlineLevel="0" collapsed="false">
      <c r="A26" s="2" t="s">
        <v>9</v>
      </c>
      <c r="B26" s="2" t="s">
        <v>23</v>
      </c>
      <c r="C26" s="2" t="s">
        <v>28</v>
      </c>
      <c r="D26" s="2" t="s">
        <v>12</v>
      </c>
      <c r="E26" s="2" t="s">
        <v>25</v>
      </c>
      <c r="F26" s="3" t="n">
        <v>28.75</v>
      </c>
      <c r="G26" s="4" t="n">
        <v>23</v>
      </c>
      <c r="H26" s="3" t="n">
        <v>661.25</v>
      </c>
      <c r="I26" s="5" t="n">
        <f aca="false">H26/1000</f>
        <v>0.66125</v>
      </c>
    </row>
    <row r="27" customFormat="false" ht="15" hidden="false" customHeight="false" outlineLevel="0" collapsed="false">
      <c r="A27" s="2" t="s">
        <v>14</v>
      </c>
      <c r="B27" s="2" t="s">
        <v>23</v>
      </c>
      <c r="C27" s="2" t="s">
        <v>28</v>
      </c>
      <c r="D27" s="2" t="s">
        <v>12</v>
      </c>
      <c r="E27" s="2" t="s">
        <v>29</v>
      </c>
      <c r="F27" s="3" t="n">
        <v>38.7</v>
      </c>
      <c r="G27" s="4" t="n">
        <v>20</v>
      </c>
      <c r="H27" s="3" t="n">
        <v>774</v>
      </c>
      <c r="I27" s="5" t="n">
        <f aca="false">H27/1000</f>
        <v>0.774</v>
      </c>
    </row>
    <row r="28" customFormat="false" ht="15" hidden="false" customHeight="false" outlineLevel="0" collapsed="false">
      <c r="A28" s="2" t="s">
        <v>9</v>
      </c>
      <c r="B28" s="2" t="s">
        <v>23</v>
      </c>
      <c r="C28" s="2" t="s">
        <v>28</v>
      </c>
      <c r="D28" s="2" t="s">
        <v>16</v>
      </c>
      <c r="E28" s="2" t="s">
        <v>25</v>
      </c>
      <c r="F28" s="3" t="n">
        <v>29.9</v>
      </c>
      <c r="G28" s="4" t="n">
        <v>23</v>
      </c>
      <c r="H28" s="3" t="n">
        <v>687.7</v>
      </c>
      <c r="I28" s="5" t="n">
        <f aca="false">H28/1000</f>
        <v>0.6877</v>
      </c>
    </row>
    <row r="29" customFormat="false" ht="15" hidden="false" customHeight="false" outlineLevel="0" collapsed="false">
      <c r="A29" s="2" t="s">
        <v>14</v>
      </c>
      <c r="B29" s="2" t="s">
        <v>23</v>
      </c>
      <c r="C29" s="2" t="s">
        <v>28</v>
      </c>
      <c r="D29" s="2" t="s">
        <v>26</v>
      </c>
      <c r="E29" s="2" t="s">
        <v>25</v>
      </c>
      <c r="F29" s="3" t="n">
        <v>38.7</v>
      </c>
      <c r="G29" s="4" t="n">
        <v>24.2</v>
      </c>
      <c r="H29" s="3" t="n">
        <v>936.54</v>
      </c>
      <c r="I29" s="5" t="n">
        <f aca="false">H29/1000</f>
        <v>0.93654</v>
      </c>
    </row>
    <row r="30" customFormat="false" ht="15" hidden="false" customHeight="false" outlineLevel="0" collapsed="false">
      <c r="A30" s="2" t="s">
        <v>14</v>
      </c>
      <c r="B30" s="2" t="s">
        <v>23</v>
      </c>
      <c r="C30" s="2" t="s">
        <v>28</v>
      </c>
      <c r="D30" s="2" t="s">
        <v>27</v>
      </c>
      <c r="E30" s="2" t="s">
        <v>25</v>
      </c>
      <c r="F30" s="3" t="n">
        <v>43.2</v>
      </c>
      <c r="G30" s="4" t="n">
        <v>24.2</v>
      </c>
      <c r="H30" s="3" t="n">
        <v>1045.44</v>
      </c>
      <c r="I30" s="5" t="n">
        <f aca="false">H30/1000</f>
        <v>1.04544</v>
      </c>
    </row>
    <row r="31" customFormat="false" ht="15" hidden="false" customHeight="false" outlineLevel="0" collapsed="false">
      <c r="A31" s="2" t="s">
        <v>9</v>
      </c>
      <c r="B31" s="2" t="s">
        <v>23</v>
      </c>
      <c r="C31" s="2" t="s">
        <v>18</v>
      </c>
      <c r="D31" s="2" t="s">
        <v>12</v>
      </c>
      <c r="E31" s="2" t="s">
        <v>25</v>
      </c>
      <c r="F31" s="3" t="n">
        <v>28.75</v>
      </c>
      <c r="G31" s="4" t="n">
        <v>32</v>
      </c>
      <c r="H31" s="3" t="n">
        <v>920</v>
      </c>
      <c r="I31" s="5" t="n">
        <f aca="false">H31/1000</f>
        <v>0.92</v>
      </c>
    </row>
    <row r="32" customFormat="false" ht="15" hidden="false" customHeight="false" outlineLevel="0" collapsed="false">
      <c r="A32" s="2" t="s">
        <v>14</v>
      </c>
      <c r="B32" s="2" t="s">
        <v>23</v>
      </c>
      <c r="C32" s="2" t="s">
        <v>18</v>
      </c>
      <c r="D32" s="2" t="s">
        <v>12</v>
      </c>
      <c r="E32" s="2" t="s">
        <v>29</v>
      </c>
      <c r="F32" s="3" t="n">
        <v>38.7</v>
      </c>
      <c r="G32" s="4" t="n">
        <v>29</v>
      </c>
      <c r="H32" s="3" t="n">
        <v>1122.3</v>
      </c>
      <c r="I32" s="5" t="n">
        <f aca="false">H32/1000</f>
        <v>1.1223</v>
      </c>
    </row>
    <row r="33" customFormat="false" ht="15" hidden="false" customHeight="false" outlineLevel="0" collapsed="false">
      <c r="A33" s="2" t="s">
        <v>9</v>
      </c>
      <c r="B33" s="2" t="s">
        <v>23</v>
      </c>
      <c r="C33" s="2" t="s">
        <v>18</v>
      </c>
      <c r="D33" s="2" t="s">
        <v>16</v>
      </c>
      <c r="E33" s="2" t="s">
        <v>25</v>
      </c>
      <c r="F33" s="3" t="n">
        <v>29.9</v>
      </c>
      <c r="G33" s="4" t="n">
        <v>32</v>
      </c>
      <c r="H33" s="3" t="n">
        <v>956.8</v>
      </c>
      <c r="I33" s="5" t="n">
        <f aca="false">H33/1000</f>
        <v>0.9568</v>
      </c>
    </row>
    <row r="34" customFormat="false" ht="15" hidden="false" customHeight="false" outlineLevel="0" collapsed="false">
      <c r="A34" s="2" t="s">
        <v>14</v>
      </c>
      <c r="B34" s="2" t="s">
        <v>23</v>
      </c>
      <c r="C34" s="2" t="s">
        <v>18</v>
      </c>
      <c r="D34" s="2" t="s">
        <v>26</v>
      </c>
      <c r="E34" s="2" t="s">
        <v>25</v>
      </c>
      <c r="F34" s="3" t="n">
        <v>38.7</v>
      </c>
      <c r="G34" s="4" t="n">
        <v>34</v>
      </c>
      <c r="H34" s="3" t="n">
        <v>1315.8</v>
      </c>
      <c r="I34" s="5" t="n">
        <f aca="false">H34/1000</f>
        <v>1.3158</v>
      </c>
    </row>
    <row r="35" customFormat="false" ht="15" hidden="false" customHeight="false" outlineLevel="0" collapsed="false">
      <c r="A35" s="2" t="s">
        <v>14</v>
      </c>
      <c r="B35" s="2" t="s">
        <v>23</v>
      </c>
      <c r="C35" s="2" t="s">
        <v>18</v>
      </c>
      <c r="D35" s="2" t="s">
        <v>27</v>
      </c>
      <c r="E35" s="2" t="s">
        <v>25</v>
      </c>
      <c r="F35" s="3" t="n">
        <v>43.2</v>
      </c>
      <c r="G35" s="4" t="n">
        <v>34</v>
      </c>
      <c r="H35" s="3" t="n">
        <v>1468.8</v>
      </c>
      <c r="I35" s="5" t="n">
        <f aca="false">H35/1000</f>
        <v>1.4688</v>
      </c>
    </row>
    <row r="36" customFormat="false" ht="15" hidden="false" customHeight="false" outlineLevel="0" collapsed="false">
      <c r="A36" s="2" t="s">
        <v>9</v>
      </c>
      <c r="B36" s="2" t="s">
        <v>23</v>
      </c>
      <c r="C36" s="2" t="s">
        <v>30</v>
      </c>
      <c r="D36" s="2" t="s">
        <v>12</v>
      </c>
      <c r="E36" s="2" t="s">
        <v>25</v>
      </c>
      <c r="F36" s="3" t="n">
        <v>28.75</v>
      </c>
      <c r="G36" s="4" t="n">
        <v>40</v>
      </c>
      <c r="H36" s="3" t="n">
        <v>1150</v>
      </c>
      <c r="I36" s="5" t="n">
        <f aca="false">H36/1000</f>
        <v>1.15</v>
      </c>
    </row>
    <row r="37" customFormat="false" ht="15" hidden="false" customHeight="false" outlineLevel="0" collapsed="false">
      <c r="A37" s="2" t="s">
        <v>14</v>
      </c>
      <c r="B37" s="2" t="s">
        <v>23</v>
      </c>
      <c r="C37" s="2" t="s">
        <v>30</v>
      </c>
      <c r="D37" s="2" t="s">
        <v>12</v>
      </c>
      <c r="E37" s="2" t="s">
        <v>29</v>
      </c>
      <c r="F37" s="3" t="n">
        <v>38.7</v>
      </c>
      <c r="G37" s="4" t="n">
        <v>37.5</v>
      </c>
      <c r="H37" s="3" t="n">
        <v>1451.25</v>
      </c>
      <c r="I37" s="5" t="n">
        <f aca="false">H37/1000</f>
        <v>1.45125</v>
      </c>
    </row>
    <row r="38" customFormat="false" ht="15" hidden="false" customHeight="false" outlineLevel="0" collapsed="false">
      <c r="A38" s="2" t="s">
        <v>9</v>
      </c>
      <c r="B38" s="2" t="s">
        <v>23</v>
      </c>
      <c r="C38" s="2" t="s">
        <v>30</v>
      </c>
      <c r="D38" s="2" t="s">
        <v>16</v>
      </c>
      <c r="E38" s="2" t="s">
        <v>25</v>
      </c>
      <c r="F38" s="3" t="n">
        <v>29.9</v>
      </c>
      <c r="G38" s="4" t="n">
        <v>40</v>
      </c>
      <c r="H38" s="3" t="n">
        <v>1196</v>
      </c>
      <c r="I38" s="5" t="n">
        <f aca="false">H38/1000</f>
        <v>1.196</v>
      </c>
    </row>
    <row r="39" customFormat="false" ht="15" hidden="false" customHeight="false" outlineLevel="0" collapsed="false">
      <c r="A39" s="2" t="s">
        <v>14</v>
      </c>
      <c r="B39" s="2" t="s">
        <v>23</v>
      </c>
      <c r="C39" s="2" t="s">
        <v>30</v>
      </c>
      <c r="D39" s="2" t="s">
        <v>26</v>
      </c>
      <c r="E39" s="2" t="s">
        <v>25</v>
      </c>
      <c r="F39" s="3" t="n">
        <v>38.7</v>
      </c>
      <c r="G39" s="4" t="n">
        <v>40.8</v>
      </c>
      <c r="H39" s="3" t="n">
        <v>1578.96</v>
      </c>
      <c r="I39" s="5" t="n">
        <f aca="false">H39/1000</f>
        <v>1.57896</v>
      </c>
    </row>
    <row r="40" customFormat="false" ht="15" hidden="false" customHeight="false" outlineLevel="0" collapsed="false">
      <c r="A40" s="2" t="s">
        <v>14</v>
      </c>
      <c r="B40" s="2" t="s">
        <v>23</v>
      </c>
      <c r="C40" s="2" t="s">
        <v>30</v>
      </c>
      <c r="D40" s="2" t="s">
        <v>27</v>
      </c>
      <c r="E40" s="2" t="s">
        <v>25</v>
      </c>
      <c r="F40" s="3" t="n">
        <v>43.2</v>
      </c>
      <c r="G40" s="4" t="n">
        <v>40.8</v>
      </c>
      <c r="H40" s="3" t="n">
        <v>1762.56</v>
      </c>
      <c r="I40" s="5" t="n">
        <f aca="false">H40/1000</f>
        <v>1.76256</v>
      </c>
    </row>
    <row r="41" customFormat="false" ht="15" hidden="false" customHeight="false" outlineLevel="0" collapsed="false">
      <c r="A41" s="2" t="s">
        <v>9</v>
      </c>
      <c r="B41" s="2" t="s">
        <v>31</v>
      </c>
      <c r="C41" s="2" t="s">
        <v>32</v>
      </c>
      <c r="D41" s="2" t="s">
        <v>12</v>
      </c>
      <c r="E41" s="2" t="s">
        <v>33</v>
      </c>
      <c r="F41" s="3" t="n">
        <v>25.3</v>
      </c>
      <c r="G41" s="4" t="n">
        <v>4.6</v>
      </c>
      <c r="H41" s="3" t="n">
        <v>116.3</v>
      </c>
      <c r="I41" s="5" t="n">
        <f aca="false">H41/1000</f>
        <v>0.1163</v>
      </c>
    </row>
    <row r="42" customFormat="false" ht="15" hidden="false" customHeight="false" outlineLevel="0" collapsed="false">
      <c r="A42" s="2" t="s">
        <v>9</v>
      </c>
      <c r="B42" s="2" t="s">
        <v>31</v>
      </c>
      <c r="C42" s="2" t="s">
        <v>32</v>
      </c>
      <c r="D42" s="2" t="s">
        <v>16</v>
      </c>
      <c r="E42" s="2" t="s">
        <v>33</v>
      </c>
      <c r="F42" s="3" t="n">
        <v>26.5</v>
      </c>
      <c r="G42" s="4" t="n">
        <v>4.6</v>
      </c>
      <c r="H42" s="3" t="n">
        <v>121.9</v>
      </c>
      <c r="I42" s="5" t="n">
        <f aca="false">H42/1000</f>
        <v>0.1219</v>
      </c>
    </row>
    <row r="43" customFormat="false" ht="15" hidden="false" customHeight="false" outlineLevel="0" collapsed="false">
      <c r="A43" s="2" t="s">
        <v>14</v>
      </c>
      <c r="B43" s="2" t="s">
        <v>31</v>
      </c>
      <c r="C43" s="2" t="s">
        <v>32</v>
      </c>
      <c r="D43" s="2" t="s">
        <v>26</v>
      </c>
      <c r="E43" s="2" t="s">
        <v>33</v>
      </c>
      <c r="F43" s="3" t="n">
        <v>34.2</v>
      </c>
      <c r="G43" s="4" t="n">
        <v>5</v>
      </c>
      <c r="H43" s="3" t="n">
        <v>171</v>
      </c>
      <c r="I43" s="5" t="n">
        <f aca="false">H43/1000</f>
        <v>0.171</v>
      </c>
    </row>
    <row r="44" customFormat="false" ht="15" hidden="false" customHeight="false" outlineLevel="0" collapsed="false">
      <c r="A44" s="2" t="s">
        <v>9</v>
      </c>
      <c r="B44" s="2" t="s">
        <v>31</v>
      </c>
      <c r="C44" s="2" t="s">
        <v>34</v>
      </c>
      <c r="D44" s="2" t="s">
        <v>12</v>
      </c>
      <c r="E44" s="2" t="s">
        <v>33</v>
      </c>
      <c r="F44" s="3" t="n">
        <v>25.3</v>
      </c>
      <c r="G44" s="4" t="n">
        <v>7</v>
      </c>
      <c r="H44" s="3" t="n">
        <v>177.1</v>
      </c>
      <c r="I44" s="5" t="n">
        <f aca="false">H44/1000</f>
        <v>0.1771</v>
      </c>
    </row>
    <row r="45" customFormat="false" ht="15" hidden="false" customHeight="false" outlineLevel="0" collapsed="false">
      <c r="A45" s="2" t="s">
        <v>9</v>
      </c>
      <c r="B45" s="2" t="s">
        <v>31</v>
      </c>
      <c r="C45" s="2" t="s">
        <v>34</v>
      </c>
      <c r="D45" s="2" t="s">
        <v>16</v>
      </c>
      <c r="E45" s="2" t="s">
        <v>33</v>
      </c>
      <c r="F45" s="3" t="n">
        <v>26.5</v>
      </c>
      <c r="G45" s="4" t="n">
        <v>7</v>
      </c>
      <c r="H45" s="3" t="n">
        <v>185.5</v>
      </c>
      <c r="I45" s="5" t="n">
        <f aca="false">H45/1000</f>
        <v>0.1855</v>
      </c>
    </row>
    <row r="46" customFormat="false" ht="15" hidden="false" customHeight="false" outlineLevel="0" collapsed="false">
      <c r="A46" s="2" t="s">
        <v>14</v>
      </c>
      <c r="B46" s="2" t="s">
        <v>31</v>
      </c>
      <c r="C46" s="2" t="s">
        <v>34</v>
      </c>
      <c r="D46" s="2" t="s">
        <v>26</v>
      </c>
      <c r="E46" s="2" t="s">
        <v>33</v>
      </c>
      <c r="F46" s="3" t="n">
        <v>34.2</v>
      </c>
      <c r="G46" s="4" t="n">
        <v>7</v>
      </c>
      <c r="H46" s="3" t="n">
        <v>239.4</v>
      </c>
      <c r="I46" s="5" t="n">
        <f aca="false">H46/1000</f>
        <v>0.2394</v>
      </c>
    </row>
    <row r="47" customFormat="false" ht="15" hidden="false" customHeight="false" outlineLevel="0" collapsed="false">
      <c r="A47" s="2" t="s">
        <v>9</v>
      </c>
      <c r="B47" s="2" t="s">
        <v>31</v>
      </c>
      <c r="C47" s="2" t="s">
        <v>11</v>
      </c>
      <c r="D47" s="2" t="s">
        <v>12</v>
      </c>
      <c r="E47" s="2" t="s">
        <v>33</v>
      </c>
      <c r="F47" s="3" t="n">
        <v>25.3</v>
      </c>
      <c r="G47" s="4" t="n">
        <v>9.9</v>
      </c>
      <c r="H47" s="3" t="n">
        <v>250.4</v>
      </c>
      <c r="I47" s="5" t="n">
        <f aca="false">H47/1000</f>
        <v>0.2504</v>
      </c>
    </row>
    <row r="48" customFormat="false" ht="15" hidden="false" customHeight="false" outlineLevel="0" collapsed="false">
      <c r="A48" s="2" t="s">
        <v>9</v>
      </c>
      <c r="B48" s="2" t="s">
        <v>31</v>
      </c>
      <c r="C48" s="2" t="s">
        <v>11</v>
      </c>
      <c r="D48" s="2" t="s">
        <v>16</v>
      </c>
      <c r="E48" s="2" t="s">
        <v>33</v>
      </c>
      <c r="F48" s="3" t="n">
        <v>26.5</v>
      </c>
      <c r="G48" s="4" t="n">
        <v>10</v>
      </c>
      <c r="H48" s="3" t="n">
        <v>265</v>
      </c>
      <c r="I48" s="5" t="n">
        <f aca="false">H48/1000</f>
        <v>0.265</v>
      </c>
    </row>
    <row r="49" customFormat="false" ht="15" hidden="false" customHeight="false" outlineLevel="0" collapsed="false">
      <c r="A49" s="2" t="s">
        <v>14</v>
      </c>
      <c r="B49" s="2" t="s">
        <v>31</v>
      </c>
      <c r="C49" s="2" t="s">
        <v>11</v>
      </c>
      <c r="D49" s="2" t="s">
        <v>26</v>
      </c>
      <c r="E49" s="2" t="s">
        <v>33</v>
      </c>
      <c r="F49" s="3" t="n">
        <v>34.2</v>
      </c>
      <c r="G49" s="4" t="n">
        <v>10</v>
      </c>
      <c r="H49" s="3" t="n">
        <v>342</v>
      </c>
      <c r="I49" s="5" t="n">
        <f aca="false">H49/1000</f>
        <v>0.342</v>
      </c>
    </row>
    <row r="50" customFormat="false" ht="15" hidden="false" customHeight="false" outlineLevel="0" collapsed="false">
      <c r="A50" s="2" t="s">
        <v>9</v>
      </c>
      <c r="B50" s="2" t="s">
        <v>31</v>
      </c>
      <c r="C50" s="2" t="s">
        <v>18</v>
      </c>
      <c r="D50" s="2" t="s">
        <v>12</v>
      </c>
      <c r="E50" s="2" t="s">
        <v>33</v>
      </c>
      <c r="F50" s="3" t="n">
        <v>25.3</v>
      </c>
      <c r="G50" s="4" t="n">
        <v>16</v>
      </c>
      <c r="H50" s="3" t="n">
        <v>404.8</v>
      </c>
      <c r="I50" s="5" t="n">
        <f aca="false">H50/1000</f>
        <v>0.4048</v>
      </c>
    </row>
    <row r="51" customFormat="false" ht="15" hidden="false" customHeight="false" outlineLevel="0" collapsed="false">
      <c r="A51" s="2" t="s">
        <v>9</v>
      </c>
      <c r="B51" s="2" t="s">
        <v>31</v>
      </c>
      <c r="C51" s="2" t="s">
        <v>18</v>
      </c>
      <c r="D51" s="2" t="s">
        <v>35</v>
      </c>
      <c r="E51" s="2" t="s">
        <v>33</v>
      </c>
      <c r="F51" s="3" t="n">
        <v>26.5</v>
      </c>
      <c r="G51" s="4" t="n">
        <v>16</v>
      </c>
      <c r="H51" s="3" t="n">
        <v>424</v>
      </c>
      <c r="I51" s="5" t="n">
        <f aca="false">H51/1000</f>
        <v>0.424</v>
      </c>
    </row>
    <row r="52" customFormat="false" ht="15" hidden="false" customHeight="false" outlineLevel="0" collapsed="false">
      <c r="A52" s="2" t="s">
        <v>14</v>
      </c>
      <c r="B52" s="2" t="s">
        <v>31</v>
      </c>
      <c r="C52" s="2" t="s">
        <v>18</v>
      </c>
      <c r="D52" s="2" t="s">
        <v>26</v>
      </c>
      <c r="E52" s="2" t="s">
        <v>36</v>
      </c>
      <c r="F52" s="3" t="n">
        <v>34.2</v>
      </c>
      <c r="G52" s="4" t="n">
        <v>20</v>
      </c>
      <c r="H52" s="3" t="n">
        <v>684</v>
      </c>
      <c r="I52" s="5" t="n">
        <f aca="false">H52/1000</f>
        <v>0.684</v>
      </c>
    </row>
    <row r="53" customFormat="false" ht="15" hidden="false" customHeight="false" outlineLevel="0" collapsed="false">
      <c r="A53" s="2" t="s">
        <v>14</v>
      </c>
      <c r="B53" s="2" t="s">
        <v>31</v>
      </c>
      <c r="C53" s="2" t="s">
        <v>19</v>
      </c>
      <c r="D53" s="2" t="s">
        <v>26</v>
      </c>
      <c r="E53" s="2" t="s">
        <v>37</v>
      </c>
      <c r="F53" s="3" t="n">
        <v>34.2</v>
      </c>
      <c r="G53" s="4" t="n">
        <v>32.5</v>
      </c>
      <c r="H53" s="3" t="n">
        <v>1111.5</v>
      </c>
      <c r="I53" s="5" t="n">
        <f aca="false">H53/1000</f>
        <v>1.1115</v>
      </c>
    </row>
    <row r="54" customFormat="false" ht="15" hidden="false" customHeight="false" outlineLevel="0" collapsed="false">
      <c r="A54" s="2" t="s">
        <v>9</v>
      </c>
      <c r="B54" s="2" t="s">
        <v>31</v>
      </c>
      <c r="C54" s="2" t="s">
        <v>38</v>
      </c>
      <c r="D54" s="2" t="s">
        <v>12</v>
      </c>
      <c r="E54" s="2" t="s">
        <v>36</v>
      </c>
      <c r="F54" s="3" t="n">
        <v>25.3</v>
      </c>
      <c r="G54" s="4" t="n">
        <v>30</v>
      </c>
      <c r="H54" s="3" t="n">
        <v>759</v>
      </c>
      <c r="I54" s="5" t="n">
        <f aca="false">H54/1000</f>
        <v>0.759</v>
      </c>
    </row>
    <row r="55" customFormat="false" ht="15" hidden="false" customHeight="false" outlineLevel="0" collapsed="false">
      <c r="A55" s="2" t="s">
        <v>9</v>
      </c>
      <c r="B55" s="2" t="s">
        <v>31</v>
      </c>
      <c r="C55" s="2" t="s">
        <v>38</v>
      </c>
      <c r="D55" s="2" t="s">
        <v>35</v>
      </c>
      <c r="E55" s="2" t="s">
        <v>36</v>
      </c>
      <c r="F55" s="3" t="n">
        <v>26.5</v>
      </c>
      <c r="G55" s="4" t="n">
        <v>30</v>
      </c>
      <c r="H55" s="3" t="n">
        <v>795</v>
      </c>
      <c r="I55" s="5" t="n">
        <f aca="false">H55/1000</f>
        <v>0.795</v>
      </c>
    </row>
    <row r="57" customFormat="false" ht="15" hidden="false" customHeight="false" outlineLevel="0" collapsed="false">
      <c r="A57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4" min="13" style="0" width="15"/>
    <col collapsed="false" customWidth="true" hidden="false" outlineLevel="0" max="15" min="15" style="0" width="14"/>
    <col collapsed="false" customWidth="true" hidden="false" outlineLevel="0" max="16" min="16" style="0" width="42"/>
  </cols>
  <sheetData>
    <row r="1" customFormat="false" ht="17.35" hidden="false" customHeight="false" outlineLevel="0" collapsed="false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" hidden="false" customHeight="false" outlineLevel="0" collapsed="false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customFormat="false" ht="30" hidden="false" customHeight="true" outlineLevel="0" collapsed="false">
      <c r="A4" s="1" t="s">
        <v>42</v>
      </c>
      <c r="B4" s="1" t="s">
        <v>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</row>
    <row r="5" customFormat="false" ht="15" hidden="false" customHeight="false" outlineLevel="0" collapsed="false">
      <c r="A5" s="9" t="s">
        <v>10</v>
      </c>
      <c r="B5" s="10" t="s">
        <v>11</v>
      </c>
      <c r="C5" s="10" t="s">
        <v>57</v>
      </c>
      <c r="D5" s="10" t="n">
        <v>100</v>
      </c>
      <c r="E5" s="11" t="n">
        <f aca="false">IFERROR(_xlfn.MAXIFS('Custos Fornecedores'!$I$2:$I$55,'Custos Fornecedores'!$B$2:$B$55,$A5,'Custos Fornecedores'!$C$2:$C$55,$B5,'Custos Fornecedores'!$A$2:$A$55,"Marfel"),0)</f>
        <v>0.171</v>
      </c>
      <c r="F5" s="11" t="n">
        <f aca="false">IFERROR(_xlfn.MAXIFS('Custos Fornecedores'!$I$2:$I$55,'Custos Fornecedores'!$B$2:$B$55,$A5,'Custos Fornecedores'!$C$2:$C$55,$B5,'Custos Fornecedores'!$A$2:$A$55,"Alquimia"),0)</f>
        <v>0.1643</v>
      </c>
      <c r="G5" s="11" t="n">
        <f aca="false">IF(E5=0,F5,IF(F5=0,E5,MAX(E5,F5)))</f>
        <v>0.171</v>
      </c>
      <c r="H5" s="10" t="str">
        <f aca="false">IF(AND(E5=0,F5=0),"SEM DADOS",IF(E5=0,"Alquimia (único)",IF(F5=0,"Marfel (único)",IF(E5&gt;=F5,"Marfel","Alquimia"))))</f>
        <v>Marfel</v>
      </c>
      <c r="I5" s="12" t="n">
        <v>0.3</v>
      </c>
      <c r="J5" s="11" t="n">
        <f aca="false">I5*D5</f>
        <v>30</v>
      </c>
      <c r="K5" s="11" t="n">
        <f aca="false">G5+I5</f>
        <v>0.471</v>
      </c>
      <c r="L5" s="13" t="n">
        <v>1</v>
      </c>
      <c r="M5" s="11" t="n">
        <f aca="false">K5*(1+L5)</f>
        <v>0.942</v>
      </c>
      <c r="N5" s="12" t="n">
        <v>0.91</v>
      </c>
      <c r="O5" s="11" t="n">
        <f aca="false">M5-N5</f>
        <v>0.0319999999999999</v>
      </c>
      <c r="P5" s="14" t="str">
        <f aca="false">IF(ISNUMBER(SEARCH("único",H5)),"Custo disponível de apenas 1 fornecedor para este tamanho — ver aba Inconsistências.","")</f>
        <v/>
      </c>
    </row>
    <row r="6" customFormat="false" ht="15" hidden="false" customHeight="false" outlineLevel="0" collapsed="false">
      <c r="A6" s="9" t="s">
        <v>10</v>
      </c>
      <c r="B6" s="10" t="s">
        <v>11</v>
      </c>
      <c r="C6" s="10" t="s">
        <v>58</v>
      </c>
      <c r="D6" s="10" t="n">
        <v>200</v>
      </c>
      <c r="E6" s="11" t="n">
        <f aca="false">IFERROR(_xlfn.MAXIFS('Custos Fornecedores'!$I$2:$I$55,'Custos Fornecedores'!$B$2:$B$55,$A6,'Custos Fornecedores'!$C$2:$C$55,$B6,'Custos Fornecedores'!$A$2:$A$55,"Marfel"),0)</f>
        <v>0.171</v>
      </c>
      <c r="F6" s="11" t="n">
        <f aca="false">IFERROR(_xlfn.MAXIFS('Custos Fornecedores'!$I$2:$I$55,'Custos Fornecedores'!$B$2:$B$55,$A6,'Custos Fornecedores'!$C$2:$C$55,$B6,'Custos Fornecedores'!$A$2:$A$55,"Alquimia"),0)</f>
        <v>0.1643</v>
      </c>
      <c r="G6" s="11" t="n">
        <f aca="false">IF(E6=0,F6,IF(F6=0,E6,MAX(E6,F6)))</f>
        <v>0.171</v>
      </c>
      <c r="H6" s="10" t="str">
        <f aca="false">IF(AND(E6=0,F6=0),"SEM DADOS",IF(E6=0,"Alquimia (único)",IF(F6=0,"Marfel (único)",IF(E6&gt;=F6,"Marfel","Alquimia"))))</f>
        <v>Marfel</v>
      </c>
      <c r="I6" s="12" t="n">
        <v>0.3</v>
      </c>
      <c r="J6" s="11" t="n">
        <f aca="false">I6*D6</f>
        <v>60</v>
      </c>
      <c r="K6" s="11" t="n">
        <f aca="false">G6+I6</f>
        <v>0.471</v>
      </c>
      <c r="L6" s="13" t="n">
        <v>0.75</v>
      </c>
      <c r="M6" s="11" t="n">
        <f aca="false">K6*(1+L6)</f>
        <v>0.82425</v>
      </c>
      <c r="N6" s="12" t="n">
        <v>0.8</v>
      </c>
      <c r="O6" s="11" t="n">
        <f aca="false">M6-N6</f>
        <v>0.0242499999999999</v>
      </c>
      <c r="P6" s="14" t="str">
        <f aca="false">IF(ISNUMBER(SEARCH("único",H6)),"Custo disponível de apenas 1 fornecedor para este tamanho — ver aba Inconsistências.","")</f>
        <v/>
      </c>
    </row>
    <row r="7" customFormat="false" ht="15" hidden="false" customHeight="false" outlineLevel="0" collapsed="false">
      <c r="A7" s="9" t="s">
        <v>10</v>
      </c>
      <c r="B7" s="10" t="s">
        <v>11</v>
      </c>
      <c r="C7" s="10" t="s">
        <v>59</v>
      </c>
      <c r="D7" s="10" t="n">
        <v>300</v>
      </c>
      <c r="E7" s="11" t="n">
        <f aca="false">IFERROR(_xlfn.MAXIFS('Custos Fornecedores'!$I$2:$I$55,'Custos Fornecedores'!$B$2:$B$55,$A7,'Custos Fornecedores'!$C$2:$C$55,$B7,'Custos Fornecedores'!$A$2:$A$55,"Marfel"),0)</f>
        <v>0.171</v>
      </c>
      <c r="F7" s="11" t="n">
        <f aca="false">IFERROR(_xlfn.MAXIFS('Custos Fornecedores'!$I$2:$I$55,'Custos Fornecedores'!$B$2:$B$55,$A7,'Custos Fornecedores'!$C$2:$C$55,$B7,'Custos Fornecedores'!$A$2:$A$55,"Alquimia"),0)</f>
        <v>0.1643</v>
      </c>
      <c r="G7" s="11" t="n">
        <f aca="false">IF(E7=0,F7,IF(F7=0,E7,MAX(E7,F7)))</f>
        <v>0.171</v>
      </c>
      <c r="H7" s="10" t="str">
        <f aca="false">IF(AND(E7=0,F7=0),"SEM DADOS",IF(E7=0,"Alquimia (único)",IF(F7=0,"Marfel (único)",IF(E7&gt;=F7,"Marfel","Alquimia"))))</f>
        <v>Marfel</v>
      </c>
      <c r="I7" s="12" t="n">
        <v>0.3</v>
      </c>
      <c r="J7" s="11" t="n">
        <f aca="false">I7*D7</f>
        <v>90</v>
      </c>
      <c r="K7" s="11" t="n">
        <f aca="false">G7+I7</f>
        <v>0.471</v>
      </c>
      <c r="L7" s="13" t="n">
        <v>0.7</v>
      </c>
      <c r="M7" s="11" t="n">
        <f aca="false">K7*(1+L7)</f>
        <v>0.8007</v>
      </c>
      <c r="N7" s="12" t="n">
        <v>0.77</v>
      </c>
      <c r="O7" s="11" t="n">
        <f aca="false">M7-N7</f>
        <v>0.0307</v>
      </c>
      <c r="P7" s="14" t="str">
        <f aca="false">IF(ISNUMBER(SEARCH("único",H7)),"Custo disponível de apenas 1 fornecedor para este tamanho — ver aba Inconsistências.","")</f>
        <v/>
      </c>
    </row>
    <row r="8" customFormat="false" ht="15" hidden="false" customHeight="false" outlineLevel="0" collapsed="false">
      <c r="A8" s="9" t="s">
        <v>10</v>
      </c>
      <c r="B8" s="10" t="s">
        <v>11</v>
      </c>
      <c r="C8" s="10" t="s">
        <v>60</v>
      </c>
      <c r="D8" s="10" t="n">
        <v>400</v>
      </c>
      <c r="E8" s="11" t="n">
        <f aca="false">IFERROR(_xlfn.MAXIFS('Custos Fornecedores'!$I$2:$I$55,'Custos Fornecedores'!$B$2:$B$55,$A8,'Custos Fornecedores'!$C$2:$C$55,$B8,'Custos Fornecedores'!$A$2:$A$55,"Marfel"),0)</f>
        <v>0.171</v>
      </c>
      <c r="F8" s="11" t="n">
        <f aca="false">IFERROR(_xlfn.MAXIFS('Custos Fornecedores'!$I$2:$I$55,'Custos Fornecedores'!$B$2:$B$55,$A8,'Custos Fornecedores'!$C$2:$C$55,$B8,'Custos Fornecedores'!$A$2:$A$55,"Alquimia"),0)</f>
        <v>0.1643</v>
      </c>
      <c r="G8" s="11" t="n">
        <f aca="false">IF(E8=0,F8,IF(F8=0,E8,MAX(E8,F8)))</f>
        <v>0.171</v>
      </c>
      <c r="H8" s="10" t="str">
        <f aca="false">IF(AND(E8=0,F8=0),"SEM DADOS",IF(E8=0,"Alquimia (único)",IF(F8=0,"Marfel (único)",IF(E8&gt;=F8,"Marfel","Alquimia"))))</f>
        <v>Marfel</v>
      </c>
      <c r="I8" s="12" t="n">
        <v>0.3</v>
      </c>
      <c r="J8" s="11" t="n">
        <f aca="false">I8*D8</f>
        <v>120</v>
      </c>
      <c r="K8" s="11" t="n">
        <f aca="false">G8+I8</f>
        <v>0.471</v>
      </c>
      <c r="L8" s="13" t="n">
        <v>0.65</v>
      </c>
      <c r="M8" s="11" t="n">
        <f aca="false">K8*(1+L8)</f>
        <v>0.77715</v>
      </c>
      <c r="N8" s="12" t="n">
        <v>0.75</v>
      </c>
      <c r="O8" s="11" t="n">
        <f aca="false">M8-N8</f>
        <v>0.0271499999999999</v>
      </c>
      <c r="P8" s="14" t="str">
        <f aca="false">IF(ISNUMBER(SEARCH("único",H8)),"Custo disponível de apenas 1 fornecedor para este tamanho — ver aba Inconsistências.","")</f>
        <v/>
      </c>
    </row>
    <row r="9" customFormat="false" ht="15" hidden="false" customHeight="false" outlineLevel="0" collapsed="false">
      <c r="A9" s="9" t="s">
        <v>10</v>
      </c>
      <c r="B9" s="10" t="s">
        <v>11</v>
      </c>
      <c r="C9" s="10" t="s">
        <v>61</v>
      </c>
      <c r="D9" s="10" t="n">
        <v>500</v>
      </c>
      <c r="E9" s="11" t="n">
        <f aca="false">IFERROR(_xlfn.MAXIFS('Custos Fornecedores'!$I$2:$I$55,'Custos Fornecedores'!$B$2:$B$55,$A9,'Custos Fornecedores'!$C$2:$C$55,$B9,'Custos Fornecedores'!$A$2:$A$55,"Marfel"),0)</f>
        <v>0.171</v>
      </c>
      <c r="F9" s="11" t="n">
        <f aca="false">IFERROR(_xlfn.MAXIFS('Custos Fornecedores'!$I$2:$I$55,'Custos Fornecedores'!$B$2:$B$55,$A9,'Custos Fornecedores'!$C$2:$C$55,$B9,'Custos Fornecedores'!$A$2:$A$55,"Alquimia"),0)</f>
        <v>0.1643</v>
      </c>
      <c r="G9" s="11" t="n">
        <f aca="false">IF(E9=0,F9,IF(F9=0,E9,MAX(E9,F9)))</f>
        <v>0.171</v>
      </c>
      <c r="H9" s="10" t="str">
        <f aca="false">IF(AND(E9=0,F9=0),"SEM DADOS",IF(E9=0,"Alquimia (único)",IF(F9=0,"Marfel (único)",IF(E9&gt;=F9,"Marfel","Alquimia"))))</f>
        <v>Marfel</v>
      </c>
      <c r="I9" s="12" t="n">
        <v>0.3</v>
      </c>
      <c r="J9" s="11" t="n">
        <f aca="false">I9*D9</f>
        <v>150</v>
      </c>
      <c r="K9" s="11" t="n">
        <f aca="false">G9+I9</f>
        <v>0.471</v>
      </c>
      <c r="L9" s="13" t="n">
        <v>0.6</v>
      </c>
      <c r="M9" s="11" t="n">
        <f aca="false">K9*(1+L9)</f>
        <v>0.7536</v>
      </c>
      <c r="N9" s="12" t="n">
        <v>0.73</v>
      </c>
      <c r="O9" s="11" t="n">
        <f aca="false">M9-N9</f>
        <v>0.0236000000000001</v>
      </c>
      <c r="P9" s="14" t="str">
        <f aca="false">IF(ISNUMBER(SEARCH("único",H9)),"Custo disponível de apenas 1 fornecedor para este tamanho — ver aba Inconsistências.","")</f>
        <v/>
      </c>
    </row>
    <row r="10" customFormat="false" ht="15" hidden="false" customHeight="false" outlineLevel="0" collapsed="false">
      <c r="A10" s="9" t="s">
        <v>10</v>
      </c>
      <c r="B10" s="10" t="s">
        <v>11</v>
      </c>
      <c r="C10" s="10" t="s">
        <v>62</v>
      </c>
      <c r="D10" s="10" t="n">
        <v>600</v>
      </c>
      <c r="E10" s="11" t="n">
        <f aca="false">IFERROR(_xlfn.MAXIFS('Custos Fornecedores'!$I$2:$I$55,'Custos Fornecedores'!$B$2:$B$55,$A10,'Custos Fornecedores'!$C$2:$C$55,$B10,'Custos Fornecedores'!$A$2:$A$55,"Marfel"),0)</f>
        <v>0.171</v>
      </c>
      <c r="F10" s="11" t="n">
        <f aca="false">IFERROR(_xlfn.MAXIFS('Custos Fornecedores'!$I$2:$I$55,'Custos Fornecedores'!$B$2:$B$55,$A10,'Custos Fornecedores'!$C$2:$C$55,$B10,'Custos Fornecedores'!$A$2:$A$55,"Alquimia"),0)</f>
        <v>0.1643</v>
      </c>
      <c r="G10" s="11" t="n">
        <f aca="false">IF(E10=0,F10,IF(F10=0,E10,MAX(E10,F10)))</f>
        <v>0.171</v>
      </c>
      <c r="H10" s="10" t="str">
        <f aca="false">IF(AND(E10=0,F10=0),"SEM DADOS",IF(E10=0,"Alquimia (único)",IF(F10=0,"Marfel (único)",IF(E10&gt;=F10,"Marfel","Alquimia"))))</f>
        <v>Marfel</v>
      </c>
      <c r="I10" s="12" t="n">
        <v>0.3</v>
      </c>
      <c r="J10" s="11" t="n">
        <f aca="false">I10*D10</f>
        <v>180</v>
      </c>
      <c r="K10" s="11" t="n">
        <f aca="false">G10+I10</f>
        <v>0.471</v>
      </c>
      <c r="L10" s="13" t="n">
        <v>0.57</v>
      </c>
      <c r="M10" s="11" t="n">
        <f aca="false">K10*(1+L10)</f>
        <v>0.73947</v>
      </c>
      <c r="N10" s="12" t="n">
        <v>0.71</v>
      </c>
      <c r="O10" s="11" t="n">
        <f aca="false">M10-N10</f>
        <v>0.0294699999999999</v>
      </c>
      <c r="P10" s="14" t="str">
        <f aca="false">IF(ISNUMBER(SEARCH("único",H10)),"Custo disponível de apenas 1 fornecedor para este tamanho — ver aba Inconsistências.","")</f>
        <v/>
      </c>
    </row>
    <row r="11" customFormat="false" ht="15" hidden="false" customHeight="false" outlineLevel="0" collapsed="false">
      <c r="A11" s="9" t="s">
        <v>10</v>
      </c>
      <c r="B11" s="10" t="s">
        <v>11</v>
      </c>
      <c r="C11" s="10" t="s">
        <v>63</v>
      </c>
      <c r="D11" s="10" t="n">
        <v>700</v>
      </c>
      <c r="E11" s="11" t="n">
        <f aca="false">IFERROR(_xlfn.MAXIFS('Custos Fornecedores'!$I$2:$I$55,'Custos Fornecedores'!$B$2:$B$55,$A11,'Custos Fornecedores'!$C$2:$C$55,$B11,'Custos Fornecedores'!$A$2:$A$55,"Marfel"),0)</f>
        <v>0.171</v>
      </c>
      <c r="F11" s="11" t="n">
        <f aca="false">IFERROR(_xlfn.MAXIFS('Custos Fornecedores'!$I$2:$I$55,'Custos Fornecedores'!$B$2:$B$55,$A11,'Custos Fornecedores'!$C$2:$C$55,$B11,'Custos Fornecedores'!$A$2:$A$55,"Alquimia"),0)</f>
        <v>0.1643</v>
      </c>
      <c r="G11" s="11" t="n">
        <f aca="false">IF(E11=0,F11,IF(F11=0,E11,MAX(E11,F11)))</f>
        <v>0.171</v>
      </c>
      <c r="H11" s="10" t="str">
        <f aca="false">IF(AND(E11=0,F11=0),"SEM DADOS",IF(E11=0,"Alquimia (único)",IF(F11=0,"Marfel (único)",IF(E11&gt;=F11,"Marfel","Alquimia"))))</f>
        <v>Marfel</v>
      </c>
      <c r="I11" s="12" t="n">
        <v>0.3</v>
      </c>
      <c r="J11" s="11" t="n">
        <f aca="false">I11*D11</f>
        <v>210</v>
      </c>
      <c r="K11" s="11" t="n">
        <f aca="false">G11+I11</f>
        <v>0.471</v>
      </c>
      <c r="L11" s="13" t="n">
        <v>0.54</v>
      </c>
      <c r="M11" s="11" t="n">
        <f aca="false">K11*(1+L11)</f>
        <v>0.72534</v>
      </c>
      <c r="N11" s="12" t="n">
        <v>0.7</v>
      </c>
      <c r="O11" s="11" t="n">
        <f aca="false">M11-N11</f>
        <v>0.02534</v>
      </c>
      <c r="P11" s="14" t="str">
        <f aca="false">IF(ISNUMBER(SEARCH("único",H11)),"Custo disponível de apenas 1 fornecedor para este tamanho — ver aba Inconsistências.","")</f>
        <v/>
      </c>
    </row>
    <row r="12" customFormat="false" ht="15" hidden="false" customHeight="false" outlineLevel="0" collapsed="false">
      <c r="A12" s="9" t="s">
        <v>10</v>
      </c>
      <c r="B12" s="10" t="s">
        <v>11</v>
      </c>
      <c r="C12" s="10" t="s">
        <v>64</v>
      </c>
      <c r="D12" s="10" t="n">
        <v>800</v>
      </c>
      <c r="E12" s="11" t="n">
        <f aca="false">IFERROR(_xlfn.MAXIFS('Custos Fornecedores'!$I$2:$I$55,'Custos Fornecedores'!$B$2:$B$55,$A12,'Custos Fornecedores'!$C$2:$C$55,$B12,'Custos Fornecedores'!$A$2:$A$55,"Marfel"),0)</f>
        <v>0.171</v>
      </c>
      <c r="F12" s="11" t="n">
        <f aca="false">IFERROR(_xlfn.MAXIFS('Custos Fornecedores'!$I$2:$I$55,'Custos Fornecedores'!$B$2:$B$55,$A12,'Custos Fornecedores'!$C$2:$C$55,$B12,'Custos Fornecedores'!$A$2:$A$55,"Alquimia"),0)</f>
        <v>0.1643</v>
      </c>
      <c r="G12" s="11" t="n">
        <f aca="false">IF(E12=0,F12,IF(F12=0,E12,MAX(E12,F12)))</f>
        <v>0.171</v>
      </c>
      <c r="H12" s="10" t="str">
        <f aca="false">IF(AND(E12=0,F12=0),"SEM DADOS",IF(E12=0,"Alquimia (único)",IF(F12=0,"Marfel (único)",IF(E12&gt;=F12,"Marfel","Alquimia"))))</f>
        <v>Marfel</v>
      </c>
      <c r="I12" s="12" t="n">
        <v>0.3</v>
      </c>
      <c r="J12" s="11" t="n">
        <f aca="false">I12*D12</f>
        <v>240</v>
      </c>
      <c r="K12" s="11" t="n">
        <f aca="false">G12+I12</f>
        <v>0.471</v>
      </c>
      <c r="L12" s="13" t="n">
        <v>0.51</v>
      </c>
      <c r="M12" s="11" t="n">
        <f aca="false">K12*(1+L12)</f>
        <v>0.71121</v>
      </c>
      <c r="N12" s="12" t="n">
        <v>0.69</v>
      </c>
      <c r="O12" s="11" t="n">
        <f aca="false">M12-N12</f>
        <v>0.0212100000000001</v>
      </c>
      <c r="P12" s="14" t="str">
        <f aca="false">IF(ISNUMBER(SEARCH("único",H12)),"Custo disponível de apenas 1 fornecedor para este tamanho — ver aba Inconsistências.","")</f>
        <v/>
      </c>
    </row>
    <row r="13" customFormat="false" ht="15" hidden="false" customHeight="false" outlineLevel="0" collapsed="false">
      <c r="A13" s="9" t="s">
        <v>10</v>
      </c>
      <c r="B13" s="10" t="s">
        <v>11</v>
      </c>
      <c r="C13" s="10" t="s">
        <v>65</v>
      </c>
      <c r="D13" s="10" t="n">
        <v>900</v>
      </c>
      <c r="E13" s="11" t="n">
        <f aca="false">IFERROR(_xlfn.MAXIFS('Custos Fornecedores'!$I$2:$I$55,'Custos Fornecedores'!$B$2:$B$55,$A13,'Custos Fornecedores'!$C$2:$C$55,$B13,'Custos Fornecedores'!$A$2:$A$55,"Marfel"),0)</f>
        <v>0.171</v>
      </c>
      <c r="F13" s="11" t="n">
        <f aca="false">IFERROR(_xlfn.MAXIFS('Custos Fornecedores'!$I$2:$I$55,'Custos Fornecedores'!$B$2:$B$55,$A13,'Custos Fornecedores'!$C$2:$C$55,$B13,'Custos Fornecedores'!$A$2:$A$55,"Alquimia"),0)</f>
        <v>0.1643</v>
      </c>
      <c r="G13" s="11" t="n">
        <f aca="false">IF(E13=0,F13,IF(F13=0,E13,MAX(E13,F13)))</f>
        <v>0.171</v>
      </c>
      <c r="H13" s="10" t="str">
        <f aca="false">IF(AND(E13=0,F13=0),"SEM DADOS",IF(E13=0,"Alquimia (único)",IF(F13=0,"Marfel (único)",IF(E13&gt;=F13,"Marfel","Alquimia"))))</f>
        <v>Marfel</v>
      </c>
      <c r="I13" s="12" t="n">
        <v>0.3</v>
      </c>
      <c r="J13" s="11" t="n">
        <f aca="false">I13*D13</f>
        <v>270</v>
      </c>
      <c r="K13" s="11" t="n">
        <f aca="false">G13+I13</f>
        <v>0.471</v>
      </c>
      <c r="L13" s="13" t="n">
        <v>0.48</v>
      </c>
      <c r="M13" s="11" t="n">
        <f aca="false">K13*(1+L13)</f>
        <v>0.69708</v>
      </c>
      <c r="N13" s="12" t="n">
        <v>0.67</v>
      </c>
      <c r="O13" s="11" t="n">
        <f aca="false">M13-N13</f>
        <v>0.0270799999999999</v>
      </c>
      <c r="P13" s="14" t="str">
        <f aca="false">IF(ISNUMBER(SEARCH("único",H13)),"Custo disponível de apenas 1 fornecedor para este tamanho — ver aba Inconsistências.","")</f>
        <v/>
      </c>
    </row>
    <row r="14" customFormat="false" ht="15" hidden="false" customHeight="false" outlineLevel="0" collapsed="false">
      <c r="A14" s="9" t="s">
        <v>10</v>
      </c>
      <c r="B14" s="10" t="s">
        <v>11</v>
      </c>
      <c r="C14" s="10" t="s">
        <v>66</v>
      </c>
      <c r="D14" s="10" t="n">
        <v>1000</v>
      </c>
      <c r="E14" s="11" t="n">
        <f aca="false">IFERROR(_xlfn.MAXIFS('Custos Fornecedores'!$I$2:$I$55,'Custos Fornecedores'!$B$2:$B$55,$A14,'Custos Fornecedores'!$C$2:$C$55,$B14,'Custos Fornecedores'!$A$2:$A$55,"Marfel"),0)</f>
        <v>0.171</v>
      </c>
      <c r="F14" s="11" t="n">
        <f aca="false">IFERROR(_xlfn.MAXIFS('Custos Fornecedores'!$I$2:$I$55,'Custos Fornecedores'!$B$2:$B$55,$A14,'Custos Fornecedores'!$C$2:$C$55,$B14,'Custos Fornecedores'!$A$2:$A$55,"Alquimia"),0)</f>
        <v>0.1643</v>
      </c>
      <c r="G14" s="11" t="n">
        <f aca="false">IF(E14=0,F14,IF(F14=0,E14,MAX(E14,F14)))</f>
        <v>0.171</v>
      </c>
      <c r="H14" s="10" t="str">
        <f aca="false">IF(AND(E14=0,F14=0),"SEM DADOS",IF(E14=0,"Alquimia (único)",IF(F14=0,"Marfel (único)",IF(E14&gt;=F14,"Marfel","Alquimia"))))</f>
        <v>Marfel</v>
      </c>
      <c r="I14" s="12" t="n">
        <v>0.3</v>
      </c>
      <c r="J14" s="11" t="n">
        <f aca="false">I14*D14</f>
        <v>300</v>
      </c>
      <c r="K14" s="11" t="n">
        <f aca="false">G14+I14</f>
        <v>0.471</v>
      </c>
      <c r="L14" s="13" t="n">
        <v>0.4</v>
      </c>
      <c r="M14" s="11" t="n">
        <f aca="false">K14*(1+L14)</f>
        <v>0.6594</v>
      </c>
      <c r="N14" s="12" t="n">
        <v>0.64</v>
      </c>
      <c r="O14" s="11" t="n">
        <f aca="false">M14-N14</f>
        <v>0.0193999999999999</v>
      </c>
      <c r="P14" s="14" t="str">
        <f aca="false">IF(ISNUMBER(SEARCH("único",H14)),"Custo disponível de apenas 1 fornecedor para este tamanho — ver aba Inconsistências.","")</f>
        <v/>
      </c>
    </row>
    <row r="15" customFormat="false" ht="15" hidden="false" customHeight="false" outlineLevel="0" collapsed="false">
      <c r="A15" s="9" t="s">
        <v>10</v>
      </c>
      <c r="B15" s="10" t="s">
        <v>18</v>
      </c>
      <c r="C15" s="10" t="s">
        <v>57</v>
      </c>
      <c r="D15" s="10" t="n">
        <v>100</v>
      </c>
      <c r="E15" s="11" t="n">
        <f aca="false">IFERROR(_xlfn.MAXIFS('Custos Fornecedores'!$I$2:$I$55,'Custos Fornecedores'!$B$2:$B$55,$A15,'Custos Fornecedores'!$C$2:$C$55,$B15,'Custos Fornecedores'!$A$2:$A$55,"Marfel"),0)</f>
        <v>0.3078</v>
      </c>
      <c r="F15" s="11" t="n">
        <f aca="false">IFERROR(_xlfn.MAXIFS('Custos Fornecedores'!$I$2:$I$55,'Custos Fornecedores'!$B$2:$B$55,$A15,'Custos Fornecedores'!$C$2:$C$55,$B15,'Custos Fornecedores'!$A$2:$A$55,"Alquimia"),0)</f>
        <v>0.2915</v>
      </c>
      <c r="G15" s="11" t="n">
        <f aca="false">IF(E15=0,F15,IF(F15=0,E15,MAX(E15,F15)))</f>
        <v>0.3078</v>
      </c>
      <c r="H15" s="10" t="str">
        <f aca="false">IF(AND(E15=0,F15=0),"SEM DADOS",IF(E15=0,"Alquimia (único)",IF(F15=0,"Marfel (único)",IF(E15&gt;=F15,"Marfel","Alquimia"))))</f>
        <v>Marfel</v>
      </c>
      <c r="I15" s="12" t="n">
        <v>0.3</v>
      </c>
      <c r="J15" s="11" t="n">
        <f aca="false">I15*D15</f>
        <v>30</v>
      </c>
      <c r="K15" s="11" t="n">
        <f aca="false">G15+I15</f>
        <v>0.6078</v>
      </c>
      <c r="L15" s="13" t="n">
        <v>1</v>
      </c>
      <c r="M15" s="11" t="n">
        <f aca="false">K15*(1+L15)</f>
        <v>1.2156</v>
      </c>
      <c r="N15" s="12" t="n">
        <v>1.16</v>
      </c>
      <c r="O15" s="11" t="n">
        <f aca="false">M15-N15</f>
        <v>0.0556000000000001</v>
      </c>
      <c r="P15" s="14" t="str">
        <f aca="false">IF(ISNUMBER(SEARCH("único",H15)),"Custo disponível de apenas 1 fornecedor para este tamanho — ver aba Inconsistências.","")</f>
        <v/>
      </c>
    </row>
    <row r="16" customFormat="false" ht="15" hidden="false" customHeight="false" outlineLevel="0" collapsed="false">
      <c r="A16" s="9" t="s">
        <v>10</v>
      </c>
      <c r="B16" s="10" t="s">
        <v>18</v>
      </c>
      <c r="C16" s="10" t="s">
        <v>58</v>
      </c>
      <c r="D16" s="10" t="n">
        <v>200</v>
      </c>
      <c r="E16" s="11" t="n">
        <f aca="false">IFERROR(_xlfn.MAXIFS('Custos Fornecedores'!$I$2:$I$55,'Custos Fornecedores'!$B$2:$B$55,$A16,'Custos Fornecedores'!$C$2:$C$55,$B16,'Custos Fornecedores'!$A$2:$A$55,"Marfel"),0)</f>
        <v>0.3078</v>
      </c>
      <c r="F16" s="11" t="n">
        <f aca="false">IFERROR(_xlfn.MAXIFS('Custos Fornecedores'!$I$2:$I$55,'Custos Fornecedores'!$B$2:$B$55,$A16,'Custos Fornecedores'!$C$2:$C$55,$B16,'Custos Fornecedores'!$A$2:$A$55,"Alquimia"),0)</f>
        <v>0.2915</v>
      </c>
      <c r="G16" s="11" t="n">
        <f aca="false">IF(E16=0,F16,IF(F16=0,E16,MAX(E16,F16)))</f>
        <v>0.3078</v>
      </c>
      <c r="H16" s="10" t="str">
        <f aca="false">IF(AND(E16=0,F16=0),"SEM DADOS",IF(E16=0,"Alquimia (único)",IF(F16=0,"Marfel (único)",IF(E16&gt;=F16,"Marfel","Alquimia"))))</f>
        <v>Marfel</v>
      </c>
      <c r="I16" s="12" t="n">
        <v>0.3</v>
      </c>
      <c r="J16" s="11" t="n">
        <f aca="false">I16*D16</f>
        <v>60</v>
      </c>
      <c r="K16" s="11" t="n">
        <f aca="false">G16+I16</f>
        <v>0.6078</v>
      </c>
      <c r="L16" s="13" t="n">
        <v>0.75</v>
      </c>
      <c r="M16" s="11" t="n">
        <f aca="false">K16*(1+L16)</f>
        <v>1.06365</v>
      </c>
      <c r="N16" s="12" t="n">
        <v>1.01</v>
      </c>
      <c r="O16" s="11" t="n">
        <f aca="false">M16-N16</f>
        <v>0.05365</v>
      </c>
      <c r="P16" s="14" t="str">
        <f aca="false">IF(ISNUMBER(SEARCH("único",H16)),"Custo disponível de apenas 1 fornecedor para este tamanho — ver aba Inconsistências.","")</f>
        <v/>
      </c>
    </row>
    <row r="17" customFormat="false" ht="15" hidden="false" customHeight="false" outlineLevel="0" collapsed="false">
      <c r="A17" s="9" t="s">
        <v>10</v>
      </c>
      <c r="B17" s="10" t="s">
        <v>18</v>
      </c>
      <c r="C17" s="10" t="s">
        <v>59</v>
      </c>
      <c r="D17" s="10" t="n">
        <v>300</v>
      </c>
      <c r="E17" s="11" t="n">
        <f aca="false">IFERROR(_xlfn.MAXIFS('Custos Fornecedores'!$I$2:$I$55,'Custos Fornecedores'!$B$2:$B$55,$A17,'Custos Fornecedores'!$C$2:$C$55,$B17,'Custos Fornecedores'!$A$2:$A$55,"Marfel"),0)</f>
        <v>0.3078</v>
      </c>
      <c r="F17" s="11" t="n">
        <f aca="false">IFERROR(_xlfn.MAXIFS('Custos Fornecedores'!$I$2:$I$55,'Custos Fornecedores'!$B$2:$B$55,$A17,'Custos Fornecedores'!$C$2:$C$55,$B17,'Custos Fornecedores'!$A$2:$A$55,"Alquimia"),0)</f>
        <v>0.2915</v>
      </c>
      <c r="G17" s="11" t="n">
        <f aca="false">IF(E17=0,F17,IF(F17=0,E17,MAX(E17,F17)))</f>
        <v>0.3078</v>
      </c>
      <c r="H17" s="10" t="str">
        <f aca="false">IF(AND(E17=0,F17=0),"SEM DADOS",IF(E17=0,"Alquimia (único)",IF(F17=0,"Marfel (único)",IF(E17&gt;=F17,"Marfel","Alquimia"))))</f>
        <v>Marfel</v>
      </c>
      <c r="I17" s="12" t="n">
        <v>0.3</v>
      </c>
      <c r="J17" s="11" t="n">
        <f aca="false">I17*D17</f>
        <v>90</v>
      </c>
      <c r="K17" s="11" t="n">
        <f aca="false">G17+I17</f>
        <v>0.6078</v>
      </c>
      <c r="L17" s="13" t="n">
        <v>0.7</v>
      </c>
      <c r="M17" s="11" t="n">
        <f aca="false">K17*(1+L17)</f>
        <v>1.03326</v>
      </c>
      <c r="N17" s="12" t="n">
        <v>0.98</v>
      </c>
      <c r="O17" s="11" t="n">
        <f aca="false">M17-N17</f>
        <v>0.0532600000000001</v>
      </c>
      <c r="P17" s="14" t="str">
        <f aca="false">IF(ISNUMBER(SEARCH("único",H17)),"Custo disponível de apenas 1 fornecedor para este tamanho — ver aba Inconsistências.","")</f>
        <v/>
      </c>
    </row>
    <row r="18" customFormat="false" ht="15" hidden="false" customHeight="false" outlineLevel="0" collapsed="false">
      <c r="A18" s="9" t="s">
        <v>10</v>
      </c>
      <c r="B18" s="10" t="s">
        <v>18</v>
      </c>
      <c r="C18" s="10" t="s">
        <v>60</v>
      </c>
      <c r="D18" s="10" t="n">
        <v>400</v>
      </c>
      <c r="E18" s="11" t="n">
        <f aca="false">IFERROR(_xlfn.MAXIFS('Custos Fornecedores'!$I$2:$I$55,'Custos Fornecedores'!$B$2:$B$55,$A18,'Custos Fornecedores'!$C$2:$C$55,$B18,'Custos Fornecedores'!$A$2:$A$55,"Marfel"),0)</f>
        <v>0.3078</v>
      </c>
      <c r="F18" s="11" t="n">
        <f aca="false">IFERROR(_xlfn.MAXIFS('Custos Fornecedores'!$I$2:$I$55,'Custos Fornecedores'!$B$2:$B$55,$A18,'Custos Fornecedores'!$C$2:$C$55,$B18,'Custos Fornecedores'!$A$2:$A$55,"Alquimia"),0)</f>
        <v>0.2915</v>
      </c>
      <c r="G18" s="11" t="n">
        <f aca="false">IF(E18=0,F18,IF(F18=0,E18,MAX(E18,F18)))</f>
        <v>0.3078</v>
      </c>
      <c r="H18" s="10" t="str">
        <f aca="false">IF(AND(E18=0,F18=0),"SEM DADOS",IF(E18=0,"Alquimia (único)",IF(F18=0,"Marfel (único)",IF(E18&gt;=F18,"Marfel","Alquimia"))))</f>
        <v>Marfel</v>
      </c>
      <c r="I18" s="12" t="n">
        <v>0.3</v>
      </c>
      <c r="J18" s="11" t="n">
        <f aca="false">I18*D18</f>
        <v>120</v>
      </c>
      <c r="K18" s="11" t="n">
        <f aca="false">G18+I18</f>
        <v>0.6078</v>
      </c>
      <c r="L18" s="13" t="n">
        <v>0.65</v>
      </c>
      <c r="M18" s="11" t="n">
        <f aca="false">K18*(1+L18)</f>
        <v>1.00287</v>
      </c>
      <c r="N18" s="12" t="n">
        <v>0.96</v>
      </c>
      <c r="O18" s="11" t="n">
        <f aca="false">M18-N18</f>
        <v>0.04287</v>
      </c>
      <c r="P18" s="14" t="str">
        <f aca="false">IF(ISNUMBER(SEARCH("único",H18)),"Custo disponível de apenas 1 fornecedor para este tamanho — ver aba Inconsistências.","")</f>
        <v/>
      </c>
    </row>
    <row r="19" customFormat="false" ht="15" hidden="false" customHeight="false" outlineLevel="0" collapsed="false">
      <c r="A19" s="9" t="s">
        <v>10</v>
      </c>
      <c r="B19" s="10" t="s">
        <v>18</v>
      </c>
      <c r="C19" s="10" t="s">
        <v>61</v>
      </c>
      <c r="D19" s="10" t="n">
        <v>500</v>
      </c>
      <c r="E19" s="11" t="n">
        <f aca="false">IFERROR(_xlfn.MAXIFS('Custos Fornecedores'!$I$2:$I$55,'Custos Fornecedores'!$B$2:$B$55,$A19,'Custos Fornecedores'!$C$2:$C$55,$B19,'Custos Fornecedores'!$A$2:$A$55,"Marfel"),0)</f>
        <v>0.3078</v>
      </c>
      <c r="F19" s="11" t="n">
        <f aca="false">IFERROR(_xlfn.MAXIFS('Custos Fornecedores'!$I$2:$I$55,'Custos Fornecedores'!$B$2:$B$55,$A19,'Custos Fornecedores'!$C$2:$C$55,$B19,'Custos Fornecedores'!$A$2:$A$55,"Alquimia"),0)</f>
        <v>0.2915</v>
      </c>
      <c r="G19" s="11" t="n">
        <f aca="false">IF(E19=0,F19,IF(F19=0,E19,MAX(E19,F19)))</f>
        <v>0.3078</v>
      </c>
      <c r="H19" s="10" t="str">
        <f aca="false">IF(AND(E19=0,F19=0),"SEM DADOS",IF(E19=0,"Alquimia (único)",IF(F19=0,"Marfel (único)",IF(E19&gt;=F19,"Marfel","Alquimia"))))</f>
        <v>Marfel</v>
      </c>
      <c r="I19" s="12" t="n">
        <v>0.3</v>
      </c>
      <c r="J19" s="11" t="n">
        <f aca="false">I19*D19</f>
        <v>150</v>
      </c>
      <c r="K19" s="11" t="n">
        <f aca="false">G19+I19</f>
        <v>0.6078</v>
      </c>
      <c r="L19" s="13" t="n">
        <v>0.6</v>
      </c>
      <c r="M19" s="11" t="n">
        <f aca="false">K19*(1+L19)</f>
        <v>0.97248</v>
      </c>
      <c r="N19" s="12" t="n">
        <v>0.93</v>
      </c>
      <c r="O19" s="11" t="n">
        <f aca="false">M19-N19</f>
        <v>0.04248</v>
      </c>
      <c r="P19" s="14" t="str">
        <f aca="false">IF(ISNUMBER(SEARCH("único",H19)),"Custo disponível de apenas 1 fornecedor para este tamanho — ver aba Inconsistências.","")</f>
        <v/>
      </c>
    </row>
    <row r="20" customFormat="false" ht="15" hidden="false" customHeight="false" outlineLevel="0" collapsed="false">
      <c r="A20" s="9" t="s">
        <v>10</v>
      </c>
      <c r="B20" s="10" t="s">
        <v>18</v>
      </c>
      <c r="C20" s="10" t="s">
        <v>62</v>
      </c>
      <c r="D20" s="10" t="n">
        <v>600</v>
      </c>
      <c r="E20" s="11" t="n">
        <f aca="false">IFERROR(_xlfn.MAXIFS('Custos Fornecedores'!$I$2:$I$55,'Custos Fornecedores'!$B$2:$B$55,$A20,'Custos Fornecedores'!$C$2:$C$55,$B20,'Custos Fornecedores'!$A$2:$A$55,"Marfel"),0)</f>
        <v>0.3078</v>
      </c>
      <c r="F20" s="11" t="n">
        <f aca="false">IFERROR(_xlfn.MAXIFS('Custos Fornecedores'!$I$2:$I$55,'Custos Fornecedores'!$B$2:$B$55,$A20,'Custos Fornecedores'!$C$2:$C$55,$B20,'Custos Fornecedores'!$A$2:$A$55,"Alquimia"),0)</f>
        <v>0.2915</v>
      </c>
      <c r="G20" s="11" t="n">
        <f aca="false">IF(E20=0,F20,IF(F20=0,E20,MAX(E20,F20)))</f>
        <v>0.3078</v>
      </c>
      <c r="H20" s="10" t="str">
        <f aca="false">IF(AND(E20=0,F20=0),"SEM DADOS",IF(E20=0,"Alquimia (único)",IF(F20=0,"Marfel (único)",IF(E20&gt;=F20,"Marfel","Alquimia"))))</f>
        <v>Marfel</v>
      </c>
      <c r="I20" s="12" t="n">
        <v>0.3</v>
      </c>
      <c r="J20" s="11" t="n">
        <f aca="false">I20*D20</f>
        <v>180</v>
      </c>
      <c r="K20" s="11" t="n">
        <f aca="false">G20+I20</f>
        <v>0.6078</v>
      </c>
      <c r="L20" s="13" t="n">
        <v>0.57</v>
      </c>
      <c r="M20" s="11" t="n">
        <f aca="false">K20*(1+L20)</f>
        <v>0.954246</v>
      </c>
      <c r="N20" s="12" t="n">
        <v>0.91</v>
      </c>
      <c r="O20" s="11" t="n">
        <f aca="false">M20-N20</f>
        <v>0.0442459999999999</v>
      </c>
      <c r="P20" s="14" t="str">
        <f aca="false">IF(ISNUMBER(SEARCH("único",H20)),"Custo disponível de apenas 1 fornecedor para este tamanho — ver aba Inconsistências.","")</f>
        <v/>
      </c>
    </row>
    <row r="21" customFormat="false" ht="15" hidden="false" customHeight="false" outlineLevel="0" collapsed="false">
      <c r="A21" s="9" t="s">
        <v>10</v>
      </c>
      <c r="B21" s="10" t="s">
        <v>18</v>
      </c>
      <c r="C21" s="10" t="s">
        <v>63</v>
      </c>
      <c r="D21" s="10" t="n">
        <v>700</v>
      </c>
      <c r="E21" s="11" t="n">
        <f aca="false">IFERROR(_xlfn.MAXIFS('Custos Fornecedores'!$I$2:$I$55,'Custos Fornecedores'!$B$2:$B$55,$A21,'Custos Fornecedores'!$C$2:$C$55,$B21,'Custos Fornecedores'!$A$2:$A$55,"Marfel"),0)</f>
        <v>0.3078</v>
      </c>
      <c r="F21" s="11" t="n">
        <f aca="false">IFERROR(_xlfn.MAXIFS('Custos Fornecedores'!$I$2:$I$55,'Custos Fornecedores'!$B$2:$B$55,$A21,'Custos Fornecedores'!$C$2:$C$55,$B21,'Custos Fornecedores'!$A$2:$A$55,"Alquimia"),0)</f>
        <v>0.2915</v>
      </c>
      <c r="G21" s="11" t="n">
        <f aca="false">IF(E21=0,F21,IF(F21=0,E21,MAX(E21,F21)))</f>
        <v>0.3078</v>
      </c>
      <c r="H21" s="10" t="str">
        <f aca="false">IF(AND(E21=0,F21=0),"SEM DADOS",IF(E21=0,"Alquimia (único)",IF(F21=0,"Marfel (único)",IF(E21&gt;=F21,"Marfel","Alquimia"))))</f>
        <v>Marfel</v>
      </c>
      <c r="I21" s="12" t="n">
        <v>0.3</v>
      </c>
      <c r="J21" s="11" t="n">
        <f aca="false">I21*D21</f>
        <v>210</v>
      </c>
      <c r="K21" s="11" t="n">
        <f aca="false">G21+I21</f>
        <v>0.6078</v>
      </c>
      <c r="L21" s="13" t="n">
        <v>0.54</v>
      </c>
      <c r="M21" s="11" t="n">
        <f aca="false">K21*(1+L21)</f>
        <v>0.936012</v>
      </c>
      <c r="N21" s="12" t="n">
        <v>0.89</v>
      </c>
      <c r="O21" s="11" t="n">
        <f aca="false">M21-N21</f>
        <v>0.0460120000000001</v>
      </c>
      <c r="P21" s="14" t="str">
        <f aca="false">IF(ISNUMBER(SEARCH("único",H21)),"Custo disponível de apenas 1 fornecedor para este tamanho — ver aba Inconsistências.","")</f>
        <v/>
      </c>
    </row>
    <row r="22" customFormat="false" ht="15" hidden="false" customHeight="false" outlineLevel="0" collapsed="false">
      <c r="A22" s="9" t="s">
        <v>10</v>
      </c>
      <c r="B22" s="10" t="s">
        <v>18</v>
      </c>
      <c r="C22" s="10" t="s">
        <v>64</v>
      </c>
      <c r="D22" s="10" t="n">
        <v>800</v>
      </c>
      <c r="E22" s="11" t="n">
        <f aca="false">IFERROR(_xlfn.MAXIFS('Custos Fornecedores'!$I$2:$I$55,'Custos Fornecedores'!$B$2:$B$55,$A22,'Custos Fornecedores'!$C$2:$C$55,$B22,'Custos Fornecedores'!$A$2:$A$55,"Marfel"),0)</f>
        <v>0.3078</v>
      </c>
      <c r="F22" s="11" t="n">
        <f aca="false">IFERROR(_xlfn.MAXIFS('Custos Fornecedores'!$I$2:$I$55,'Custos Fornecedores'!$B$2:$B$55,$A22,'Custos Fornecedores'!$C$2:$C$55,$B22,'Custos Fornecedores'!$A$2:$A$55,"Alquimia"),0)</f>
        <v>0.2915</v>
      </c>
      <c r="G22" s="11" t="n">
        <f aca="false">IF(E22=0,F22,IF(F22=0,E22,MAX(E22,F22)))</f>
        <v>0.3078</v>
      </c>
      <c r="H22" s="10" t="str">
        <f aca="false">IF(AND(E22=0,F22=0),"SEM DADOS",IF(E22=0,"Alquimia (único)",IF(F22=0,"Marfel (único)",IF(E22&gt;=F22,"Marfel","Alquimia"))))</f>
        <v>Marfel</v>
      </c>
      <c r="I22" s="12" t="n">
        <v>0.3</v>
      </c>
      <c r="J22" s="11" t="n">
        <f aca="false">I22*D22</f>
        <v>240</v>
      </c>
      <c r="K22" s="11" t="n">
        <f aca="false">G22+I22</f>
        <v>0.6078</v>
      </c>
      <c r="L22" s="13" t="n">
        <v>0.51</v>
      </c>
      <c r="M22" s="11" t="n">
        <f aca="false">K22*(1+L22)</f>
        <v>0.917778</v>
      </c>
      <c r="N22" s="12" t="n">
        <v>0.87</v>
      </c>
      <c r="O22" s="11" t="n">
        <f aca="false">M22-N22</f>
        <v>0.047778</v>
      </c>
      <c r="P22" s="14" t="str">
        <f aca="false">IF(ISNUMBER(SEARCH("único",H22)),"Custo disponível de apenas 1 fornecedor para este tamanho — ver aba Inconsistências.","")</f>
        <v/>
      </c>
    </row>
    <row r="23" customFormat="false" ht="15" hidden="false" customHeight="false" outlineLevel="0" collapsed="false">
      <c r="A23" s="9" t="s">
        <v>10</v>
      </c>
      <c r="B23" s="10" t="s">
        <v>18</v>
      </c>
      <c r="C23" s="10" t="s">
        <v>65</v>
      </c>
      <c r="D23" s="10" t="n">
        <v>900</v>
      </c>
      <c r="E23" s="11" t="n">
        <f aca="false">IFERROR(_xlfn.MAXIFS('Custos Fornecedores'!$I$2:$I$55,'Custos Fornecedores'!$B$2:$B$55,$A23,'Custos Fornecedores'!$C$2:$C$55,$B23,'Custos Fornecedores'!$A$2:$A$55,"Marfel"),0)</f>
        <v>0.3078</v>
      </c>
      <c r="F23" s="11" t="n">
        <f aca="false">IFERROR(_xlfn.MAXIFS('Custos Fornecedores'!$I$2:$I$55,'Custos Fornecedores'!$B$2:$B$55,$A23,'Custos Fornecedores'!$C$2:$C$55,$B23,'Custos Fornecedores'!$A$2:$A$55,"Alquimia"),0)</f>
        <v>0.2915</v>
      </c>
      <c r="G23" s="11" t="n">
        <f aca="false">IF(E23=0,F23,IF(F23=0,E23,MAX(E23,F23)))</f>
        <v>0.3078</v>
      </c>
      <c r="H23" s="10" t="str">
        <f aca="false">IF(AND(E23=0,F23=0),"SEM DADOS",IF(E23=0,"Alquimia (único)",IF(F23=0,"Marfel (único)",IF(E23&gt;=F23,"Marfel","Alquimia"))))</f>
        <v>Marfel</v>
      </c>
      <c r="I23" s="12" t="n">
        <v>0.3</v>
      </c>
      <c r="J23" s="11" t="n">
        <f aca="false">I23*D23</f>
        <v>270</v>
      </c>
      <c r="K23" s="11" t="n">
        <f aca="false">G23+I23</f>
        <v>0.6078</v>
      </c>
      <c r="L23" s="13" t="n">
        <v>0.48</v>
      </c>
      <c r="M23" s="11" t="n">
        <f aca="false">K23*(1+L23)</f>
        <v>0.899544</v>
      </c>
      <c r="N23" s="12" t="n">
        <v>0.86</v>
      </c>
      <c r="O23" s="11" t="n">
        <f aca="false">M23-N23</f>
        <v>0.039544</v>
      </c>
      <c r="P23" s="14" t="str">
        <f aca="false">IF(ISNUMBER(SEARCH("único",H23)),"Custo disponível de apenas 1 fornecedor para este tamanho — ver aba Inconsistências.","")</f>
        <v/>
      </c>
    </row>
    <row r="24" customFormat="false" ht="15" hidden="false" customHeight="false" outlineLevel="0" collapsed="false">
      <c r="A24" s="9" t="s">
        <v>10</v>
      </c>
      <c r="B24" s="10" t="s">
        <v>18</v>
      </c>
      <c r="C24" s="10" t="s">
        <v>66</v>
      </c>
      <c r="D24" s="10" t="n">
        <v>1000</v>
      </c>
      <c r="E24" s="11" t="n">
        <f aca="false">IFERROR(_xlfn.MAXIFS('Custos Fornecedores'!$I$2:$I$55,'Custos Fornecedores'!$B$2:$B$55,$A24,'Custos Fornecedores'!$C$2:$C$55,$B24,'Custos Fornecedores'!$A$2:$A$55,"Marfel"),0)</f>
        <v>0.3078</v>
      </c>
      <c r="F24" s="11" t="n">
        <f aca="false">IFERROR(_xlfn.MAXIFS('Custos Fornecedores'!$I$2:$I$55,'Custos Fornecedores'!$B$2:$B$55,$A24,'Custos Fornecedores'!$C$2:$C$55,$B24,'Custos Fornecedores'!$A$2:$A$55,"Alquimia"),0)</f>
        <v>0.2915</v>
      </c>
      <c r="G24" s="11" t="n">
        <f aca="false">IF(E24=0,F24,IF(F24=0,E24,MAX(E24,F24)))</f>
        <v>0.3078</v>
      </c>
      <c r="H24" s="10" t="str">
        <f aca="false">IF(AND(E24=0,F24=0),"SEM DADOS",IF(E24=0,"Alquimia (único)",IF(F24=0,"Marfel (único)",IF(E24&gt;=F24,"Marfel","Alquimia"))))</f>
        <v>Marfel</v>
      </c>
      <c r="I24" s="12" t="n">
        <v>0.3</v>
      </c>
      <c r="J24" s="11" t="n">
        <f aca="false">I24*D24</f>
        <v>300</v>
      </c>
      <c r="K24" s="11" t="n">
        <f aca="false">G24+I24</f>
        <v>0.6078</v>
      </c>
      <c r="L24" s="13" t="n">
        <v>0.4</v>
      </c>
      <c r="M24" s="11" t="n">
        <f aca="false">K24*(1+L24)</f>
        <v>0.85092</v>
      </c>
      <c r="N24" s="12" t="n">
        <v>0.81</v>
      </c>
      <c r="O24" s="11" t="n">
        <f aca="false">M24-N24</f>
        <v>0.04092</v>
      </c>
      <c r="P24" s="14" t="str">
        <f aca="false">IF(ISNUMBER(SEARCH("único",H24)),"Custo disponível de apenas 1 fornecedor para este tamanho — ver aba Inconsistências.","")</f>
        <v/>
      </c>
    </row>
    <row r="25" customFormat="false" ht="15" hidden="false" customHeight="false" outlineLevel="0" collapsed="false">
      <c r="A25" s="9" t="s">
        <v>10</v>
      </c>
      <c r="B25" s="10" t="s">
        <v>19</v>
      </c>
      <c r="C25" s="10" t="s">
        <v>57</v>
      </c>
      <c r="D25" s="10" t="n">
        <v>100</v>
      </c>
      <c r="E25" s="11" t="n">
        <f aca="false">IFERROR(_xlfn.MAXIFS('Custos Fornecedores'!$I$2:$I$55,'Custos Fornecedores'!$B$2:$B$55,$A25,'Custos Fornecedores'!$C$2:$C$55,$B25,'Custos Fornecedores'!$A$2:$A$55,"Marfel"),0)</f>
        <v>0.4617</v>
      </c>
      <c r="F25" s="11" t="n">
        <f aca="false">IFERROR(_xlfn.MAXIFS('Custos Fornecedores'!$I$2:$I$55,'Custos Fornecedores'!$B$2:$B$55,$A25,'Custos Fornecedores'!$C$2:$C$55,$B25,'Custos Fornecedores'!$A$2:$A$55,"Alquimia"),0)</f>
        <v>0.322</v>
      </c>
      <c r="G25" s="11" t="n">
        <f aca="false">IF(E25=0,F25,IF(F25=0,E25,MAX(E25,F25)))</f>
        <v>0.4617</v>
      </c>
      <c r="H25" s="10" t="str">
        <f aca="false">IF(AND(E25=0,F25=0),"SEM DADOS",IF(E25=0,"Alquimia (único)",IF(F25=0,"Marfel (único)",IF(E25&gt;=F25,"Marfel","Alquimia"))))</f>
        <v>Marfel</v>
      </c>
      <c r="I25" s="12" t="n">
        <v>0.3</v>
      </c>
      <c r="J25" s="11" t="n">
        <f aca="false">I25*D25</f>
        <v>30</v>
      </c>
      <c r="K25" s="11" t="n">
        <f aca="false">G25+I25</f>
        <v>0.7617</v>
      </c>
      <c r="L25" s="13" t="n">
        <v>1</v>
      </c>
      <c r="M25" s="11" t="n">
        <f aca="false">K25*(1+L25)</f>
        <v>1.5234</v>
      </c>
      <c r="N25" s="12" t="n">
        <v>1.44</v>
      </c>
      <c r="O25" s="11" t="n">
        <f aca="false">M25-N25</f>
        <v>0.0834000000000001</v>
      </c>
      <c r="P25" s="14" t="str">
        <f aca="false">IF(ISNUMBER(SEARCH("único",H25)),"Custo disponível de apenas 1 fornecedor para este tamanho — ver aba Inconsistências.","")</f>
        <v/>
      </c>
    </row>
    <row r="26" customFormat="false" ht="15" hidden="false" customHeight="false" outlineLevel="0" collapsed="false">
      <c r="A26" s="9" t="s">
        <v>10</v>
      </c>
      <c r="B26" s="10" t="s">
        <v>19</v>
      </c>
      <c r="C26" s="10" t="s">
        <v>58</v>
      </c>
      <c r="D26" s="10" t="n">
        <v>200</v>
      </c>
      <c r="E26" s="11" t="n">
        <f aca="false">IFERROR(_xlfn.MAXIFS('Custos Fornecedores'!$I$2:$I$55,'Custos Fornecedores'!$B$2:$B$55,$A26,'Custos Fornecedores'!$C$2:$C$55,$B26,'Custos Fornecedores'!$A$2:$A$55,"Marfel"),0)</f>
        <v>0.4617</v>
      </c>
      <c r="F26" s="11" t="n">
        <f aca="false">IFERROR(_xlfn.MAXIFS('Custos Fornecedores'!$I$2:$I$55,'Custos Fornecedores'!$B$2:$B$55,$A26,'Custos Fornecedores'!$C$2:$C$55,$B26,'Custos Fornecedores'!$A$2:$A$55,"Alquimia"),0)</f>
        <v>0.322</v>
      </c>
      <c r="G26" s="11" t="n">
        <f aca="false">IF(E26=0,F26,IF(F26=0,E26,MAX(E26,F26)))</f>
        <v>0.4617</v>
      </c>
      <c r="H26" s="10" t="str">
        <f aca="false">IF(AND(E26=0,F26=0),"SEM DADOS",IF(E26=0,"Alquimia (único)",IF(F26=0,"Marfel (único)",IF(E26&gt;=F26,"Marfel","Alquimia"))))</f>
        <v>Marfel</v>
      </c>
      <c r="I26" s="12" t="n">
        <v>0.3</v>
      </c>
      <c r="J26" s="11" t="n">
        <f aca="false">I26*D26</f>
        <v>60</v>
      </c>
      <c r="K26" s="11" t="n">
        <f aca="false">G26+I26</f>
        <v>0.7617</v>
      </c>
      <c r="L26" s="13" t="n">
        <v>0.75</v>
      </c>
      <c r="M26" s="11" t="n">
        <f aca="false">K26*(1+L26)</f>
        <v>1.332975</v>
      </c>
      <c r="N26" s="12" t="n">
        <v>1.26</v>
      </c>
      <c r="O26" s="11" t="n">
        <f aca="false">M26-N26</f>
        <v>0.072975</v>
      </c>
      <c r="P26" s="14" t="str">
        <f aca="false">IF(ISNUMBER(SEARCH("único",H26)),"Custo disponível de apenas 1 fornecedor para este tamanho — ver aba Inconsistências.","")</f>
        <v/>
      </c>
    </row>
    <row r="27" customFormat="false" ht="15" hidden="false" customHeight="false" outlineLevel="0" collapsed="false">
      <c r="A27" s="9" t="s">
        <v>10</v>
      </c>
      <c r="B27" s="10" t="s">
        <v>19</v>
      </c>
      <c r="C27" s="10" t="s">
        <v>59</v>
      </c>
      <c r="D27" s="10" t="n">
        <v>300</v>
      </c>
      <c r="E27" s="11" t="n">
        <f aca="false">IFERROR(_xlfn.MAXIFS('Custos Fornecedores'!$I$2:$I$55,'Custos Fornecedores'!$B$2:$B$55,$A27,'Custos Fornecedores'!$C$2:$C$55,$B27,'Custos Fornecedores'!$A$2:$A$55,"Marfel"),0)</f>
        <v>0.4617</v>
      </c>
      <c r="F27" s="11" t="n">
        <f aca="false">IFERROR(_xlfn.MAXIFS('Custos Fornecedores'!$I$2:$I$55,'Custos Fornecedores'!$B$2:$B$55,$A27,'Custos Fornecedores'!$C$2:$C$55,$B27,'Custos Fornecedores'!$A$2:$A$55,"Alquimia"),0)</f>
        <v>0.322</v>
      </c>
      <c r="G27" s="11" t="n">
        <f aca="false">IF(E27=0,F27,IF(F27=0,E27,MAX(E27,F27)))</f>
        <v>0.4617</v>
      </c>
      <c r="H27" s="10" t="str">
        <f aca="false">IF(AND(E27=0,F27=0),"SEM DADOS",IF(E27=0,"Alquimia (único)",IF(F27=0,"Marfel (único)",IF(E27&gt;=F27,"Marfel","Alquimia"))))</f>
        <v>Marfel</v>
      </c>
      <c r="I27" s="12" t="n">
        <v>0.3</v>
      </c>
      <c r="J27" s="11" t="n">
        <f aca="false">I27*D27</f>
        <v>90</v>
      </c>
      <c r="K27" s="11" t="n">
        <f aca="false">G27+I27</f>
        <v>0.7617</v>
      </c>
      <c r="L27" s="13" t="n">
        <v>0.7</v>
      </c>
      <c r="M27" s="11" t="n">
        <f aca="false">K27*(1+L27)</f>
        <v>1.29489</v>
      </c>
      <c r="N27" s="12" t="n">
        <v>1.22</v>
      </c>
      <c r="O27" s="11" t="n">
        <f aca="false">M27-N27</f>
        <v>0.0748900000000001</v>
      </c>
      <c r="P27" s="14" t="str">
        <f aca="false">IF(ISNUMBER(SEARCH("único",H27)),"Custo disponível de apenas 1 fornecedor para este tamanho — ver aba Inconsistências.","")</f>
        <v/>
      </c>
    </row>
    <row r="28" customFormat="false" ht="15" hidden="false" customHeight="false" outlineLevel="0" collapsed="false">
      <c r="A28" s="9" t="s">
        <v>10</v>
      </c>
      <c r="B28" s="10" t="s">
        <v>19</v>
      </c>
      <c r="C28" s="10" t="s">
        <v>60</v>
      </c>
      <c r="D28" s="10" t="n">
        <v>400</v>
      </c>
      <c r="E28" s="11" t="n">
        <f aca="false">IFERROR(_xlfn.MAXIFS('Custos Fornecedores'!$I$2:$I$55,'Custos Fornecedores'!$B$2:$B$55,$A28,'Custos Fornecedores'!$C$2:$C$55,$B28,'Custos Fornecedores'!$A$2:$A$55,"Marfel"),0)</f>
        <v>0.4617</v>
      </c>
      <c r="F28" s="11" t="n">
        <f aca="false">IFERROR(_xlfn.MAXIFS('Custos Fornecedores'!$I$2:$I$55,'Custos Fornecedores'!$B$2:$B$55,$A28,'Custos Fornecedores'!$C$2:$C$55,$B28,'Custos Fornecedores'!$A$2:$A$55,"Alquimia"),0)</f>
        <v>0.322</v>
      </c>
      <c r="G28" s="11" t="n">
        <f aca="false">IF(E28=0,F28,IF(F28=0,E28,MAX(E28,F28)))</f>
        <v>0.4617</v>
      </c>
      <c r="H28" s="10" t="str">
        <f aca="false">IF(AND(E28=0,F28=0),"SEM DADOS",IF(E28=0,"Alquimia (único)",IF(F28=0,"Marfel (único)",IF(E28&gt;=F28,"Marfel","Alquimia"))))</f>
        <v>Marfel</v>
      </c>
      <c r="I28" s="12" t="n">
        <v>0.3</v>
      </c>
      <c r="J28" s="11" t="n">
        <f aca="false">I28*D28</f>
        <v>120</v>
      </c>
      <c r="K28" s="11" t="n">
        <f aca="false">G28+I28</f>
        <v>0.7617</v>
      </c>
      <c r="L28" s="13" t="n">
        <v>0.65</v>
      </c>
      <c r="M28" s="11" t="n">
        <f aca="false">K28*(1+L28)</f>
        <v>1.256805</v>
      </c>
      <c r="N28" s="12" t="n">
        <v>1.19</v>
      </c>
      <c r="O28" s="11" t="n">
        <f aca="false">M28-N28</f>
        <v>0.066805</v>
      </c>
      <c r="P28" s="14" t="str">
        <f aca="false">IF(ISNUMBER(SEARCH("único",H28)),"Custo disponível de apenas 1 fornecedor para este tamanho — ver aba Inconsistências.","")</f>
        <v/>
      </c>
    </row>
    <row r="29" customFormat="false" ht="15" hidden="false" customHeight="false" outlineLevel="0" collapsed="false">
      <c r="A29" s="9" t="s">
        <v>10</v>
      </c>
      <c r="B29" s="10" t="s">
        <v>19</v>
      </c>
      <c r="C29" s="10" t="s">
        <v>61</v>
      </c>
      <c r="D29" s="10" t="n">
        <v>500</v>
      </c>
      <c r="E29" s="11" t="n">
        <f aca="false">IFERROR(_xlfn.MAXIFS('Custos Fornecedores'!$I$2:$I$55,'Custos Fornecedores'!$B$2:$B$55,$A29,'Custos Fornecedores'!$C$2:$C$55,$B29,'Custos Fornecedores'!$A$2:$A$55,"Marfel"),0)</f>
        <v>0.4617</v>
      </c>
      <c r="F29" s="11" t="n">
        <f aca="false">IFERROR(_xlfn.MAXIFS('Custos Fornecedores'!$I$2:$I$55,'Custos Fornecedores'!$B$2:$B$55,$A29,'Custos Fornecedores'!$C$2:$C$55,$B29,'Custos Fornecedores'!$A$2:$A$55,"Alquimia"),0)</f>
        <v>0.322</v>
      </c>
      <c r="G29" s="11" t="n">
        <f aca="false">IF(E29=0,F29,IF(F29=0,E29,MAX(E29,F29)))</f>
        <v>0.4617</v>
      </c>
      <c r="H29" s="10" t="str">
        <f aca="false">IF(AND(E29=0,F29=0),"SEM DADOS",IF(E29=0,"Alquimia (único)",IF(F29=0,"Marfel (único)",IF(E29&gt;=F29,"Marfel","Alquimia"))))</f>
        <v>Marfel</v>
      </c>
      <c r="I29" s="12" t="n">
        <v>0.3</v>
      </c>
      <c r="J29" s="11" t="n">
        <f aca="false">I29*D29</f>
        <v>150</v>
      </c>
      <c r="K29" s="11" t="n">
        <f aca="false">G29+I29</f>
        <v>0.7617</v>
      </c>
      <c r="L29" s="13" t="n">
        <v>0.6</v>
      </c>
      <c r="M29" s="11" t="n">
        <f aca="false">K29*(1+L29)</f>
        <v>1.21872</v>
      </c>
      <c r="N29" s="12" t="n">
        <v>1.15</v>
      </c>
      <c r="O29" s="11" t="n">
        <f aca="false">M29-N29</f>
        <v>0.0687200000000003</v>
      </c>
      <c r="P29" s="14" t="str">
        <f aca="false">IF(ISNUMBER(SEARCH("único",H29)),"Custo disponível de apenas 1 fornecedor para este tamanho — ver aba Inconsistências.","")</f>
        <v/>
      </c>
    </row>
    <row r="30" customFormat="false" ht="15" hidden="false" customHeight="false" outlineLevel="0" collapsed="false">
      <c r="A30" s="9" t="s">
        <v>10</v>
      </c>
      <c r="B30" s="10" t="s">
        <v>19</v>
      </c>
      <c r="C30" s="10" t="s">
        <v>62</v>
      </c>
      <c r="D30" s="10" t="n">
        <v>600</v>
      </c>
      <c r="E30" s="11" t="n">
        <f aca="false">IFERROR(_xlfn.MAXIFS('Custos Fornecedores'!$I$2:$I$55,'Custos Fornecedores'!$B$2:$B$55,$A30,'Custos Fornecedores'!$C$2:$C$55,$B30,'Custos Fornecedores'!$A$2:$A$55,"Marfel"),0)</f>
        <v>0.4617</v>
      </c>
      <c r="F30" s="11" t="n">
        <f aca="false">IFERROR(_xlfn.MAXIFS('Custos Fornecedores'!$I$2:$I$55,'Custos Fornecedores'!$B$2:$B$55,$A30,'Custos Fornecedores'!$C$2:$C$55,$B30,'Custos Fornecedores'!$A$2:$A$55,"Alquimia"),0)</f>
        <v>0.322</v>
      </c>
      <c r="G30" s="11" t="n">
        <f aca="false">IF(E30=0,F30,IF(F30=0,E30,MAX(E30,F30)))</f>
        <v>0.4617</v>
      </c>
      <c r="H30" s="10" t="str">
        <f aca="false">IF(AND(E30=0,F30=0),"SEM DADOS",IF(E30=0,"Alquimia (único)",IF(F30=0,"Marfel (único)",IF(E30&gt;=F30,"Marfel","Alquimia"))))</f>
        <v>Marfel</v>
      </c>
      <c r="I30" s="12" t="n">
        <v>0.3</v>
      </c>
      <c r="J30" s="11" t="n">
        <f aca="false">I30*D30</f>
        <v>180</v>
      </c>
      <c r="K30" s="11" t="n">
        <f aca="false">G30+I30</f>
        <v>0.7617</v>
      </c>
      <c r="L30" s="13" t="n">
        <v>0.57</v>
      </c>
      <c r="M30" s="11" t="n">
        <f aca="false">K30*(1+L30)</f>
        <v>1.195869</v>
      </c>
      <c r="N30" s="12" t="n">
        <v>1.13</v>
      </c>
      <c r="O30" s="11" t="n">
        <f aca="false">M30-N30</f>
        <v>0.065869</v>
      </c>
      <c r="P30" s="14" t="str">
        <f aca="false">IF(ISNUMBER(SEARCH("único",H30)),"Custo disponível de apenas 1 fornecedor para este tamanho — ver aba Inconsistências.","")</f>
        <v/>
      </c>
    </row>
    <row r="31" customFormat="false" ht="15" hidden="false" customHeight="false" outlineLevel="0" collapsed="false">
      <c r="A31" s="9" t="s">
        <v>10</v>
      </c>
      <c r="B31" s="10" t="s">
        <v>19</v>
      </c>
      <c r="C31" s="10" t="s">
        <v>63</v>
      </c>
      <c r="D31" s="10" t="n">
        <v>700</v>
      </c>
      <c r="E31" s="11" t="n">
        <f aca="false">IFERROR(_xlfn.MAXIFS('Custos Fornecedores'!$I$2:$I$55,'Custos Fornecedores'!$B$2:$B$55,$A31,'Custos Fornecedores'!$C$2:$C$55,$B31,'Custos Fornecedores'!$A$2:$A$55,"Marfel"),0)</f>
        <v>0.4617</v>
      </c>
      <c r="F31" s="11" t="n">
        <f aca="false">IFERROR(_xlfn.MAXIFS('Custos Fornecedores'!$I$2:$I$55,'Custos Fornecedores'!$B$2:$B$55,$A31,'Custos Fornecedores'!$C$2:$C$55,$B31,'Custos Fornecedores'!$A$2:$A$55,"Alquimia"),0)</f>
        <v>0.322</v>
      </c>
      <c r="G31" s="11" t="n">
        <f aca="false">IF(E31=0,F31,IF(F31=0,E31,MAX(E31,F31)))</f>
        <v>0.4617</v>
      </c>
      <c r="H31" s="10" t="str">
        <f aca="false">IF(AND(E31=0,F31=0),"SEM DADOS",IF(E31=0,"Alquimia (único)",IF(F31=0,"Marfel (único)",IF(E31&gt;=F31,"Marfel","Alquimia"))))</f>
        <v>Marfel</v>
      </c>
      <c r="I31" s="12" t="n">
        <v>0.3</v>
      </c>
      <c r="J31" s="11" t="n">
        <f aca="false">I31*D31</f>
        <v>210</v>
      </c>
      <c r="K31" s="11" t="n">
        <f aca="false">G31+I31</f>
        <v>0.7617</v>
      </c>
      <c r="L31" s="13" t="n">
        <v>0.54</v>
      </c>
      <c r="M31" s="11" t="n">
        <f aca="false">K31*(1+L31)</f>
        <v>1.173018</v>
      </c>
      <c r="N31" s="12" t="n">
        <v>1.11</v>
      </c>
      <c r="O31" s="11" t="n">
        <f aca="false">M31-N31</f>
        <v>0.063018</v>
      </c>
      <c r="P31" s="14" t="str">
        <f aca="false">IF(ISNUMBER(SEARCH("único",H31)),"Custo disponível de apenas 1 fornecedor para este tamanho — ver aba Inconsistências.","")</f>
        <v/>
      </c>
    </row>
    <row r="32" customFormat="false" ht="15" hidden="false" customHeight="false" outlineLevel="0" collapsed="false">
      <c r="A32" s="9" t="s">
        <v>10</v>
      </c>
      <c r="B32" s="10" t="s">
        <v>19</v>
      </c>
      <c r="C32" s="10" t="s">
        <v>64</v>
      </c>
      <c r="D32" s="10" t="n">
        <v>800</v>
      </c>
      <c r="E32" s="11" t="n">
        <f aca="false">IFERROR(_xlfn.MAXIFS('Custos Fornecedores'!$I$2:$I$55,'Custos Fornecedores'!$B$2:$B$55,$A32,'Custos Fornecedores'!$C$2:$C$55,$B32,'Custos Fornecedores'!$A$2:$A$55,"Marfel"),0)</f>
        <v>0.4617</v>
      </c>
      <c r="F32" s="11" t="n">
        <f aca="false">IFERROR(_xlfn.MAXIFS('Custos Fornecedores'!$I$2:$I$55,'Custos Fornecedores'!$B$2:$B$55,$A32,'Custos Fornecedores'!$C$2:$C$55,$B32,'Custos Fornecedores'!$A$2:$A$55,"Alquimia"),0)</f>
        <v>0.322</v>
      </c>
      <c r="G32" s="11" t="n">
        <f aca="false">IF(E32=0,F32,IF(F32=0,E32,MAX(E32,F32)))</f>
        <v>0.4617</v>
      </c>
      <c r="H32" s="10" t="str">
        <f aca="false">IF(AND(E32=0,F32=0),"SEM DADOS",IF(E32=0,"Alquimia (único)",IF(F32=0,"Marfel (único)",IF(E32&gt;=F32,"Marfel","Alquimia"))))</f>
        <v>Marfel</v>
      </c>
      <c r="I32" s="12" t="n">
        <v>0.3</v>
      </c>
      <c r="J32" s="11" t="n">
        <f aca="false">I32*D32</f>
        <v>240</v>
      </c>
      <c r="K32" s="11" t="n">
        <f aca="false">G32+I32</f>
        <v>0.7617</v>
      </c>
      <c r="L32" s="13" t="n">
        <v>0.51</v>
      </c>
      <c r="M32" s="11" t="n">
        <f aca="false">K32*(1+L32)</f>
        <v>1.150167</v>
      </c>
      <c r="N32" s="12" t="n">
        <v>1.08</v>
      </c>
      <c r="O32" s="11" t="n">
        <f aca="false">M32-N32</f>
        <v>0.0701670000000001</v>
      </c>
      <c r="P32" s="14" t="str">
        <f aca="false">IF(ISNUMBER(SEARCH("único",H32)),"Custo disponível de apenas 1 fornecedor para este tamanho — ver aba Inconsistências.","")</f>
        <v/>
      </c>
    </row>
    <row r="33" customFormat="false" ht="15" hidden="false" customHeight="false" outlineLevel="0" collapsed="false">
      <c r="A33" s="9" t="s">
        <v>10</v>
      </c>
      <c r="B33" s="10" t="s">
        <v>19</v>
      </c>
      <c r="C33" s="10" t="s">
        <v>65</v>
      </c>
      <c r="D33" s="10" t="n">
        <v>900</v>
      </c>
      <c r="E33" s="11" t="n">
        <f aca="false">IFERROR(_xlfn.MAXIFS('Custos Fornecedores'!$I$2:$I$55,'Custos Fornecedores'!$B$2:$B$55,$A33,'Custos Fornecedores'!$C$2:$C$55,$B33,'Custos Fornecedores'!$A$2:$A$55,"Marfel"),0)</f>
        <v>0.4617</v>
      </c>
      <c r="F33" s="11" t="n">
        <f aca="false">IFERROR(_xlfn.MAXIFS('Custos Fornecedores'!$I$2:$I$55,'Custos Fornecedores'!$B$2:$B$55,$A33,'Custos Fornecedores'!$C$2:$C$55,$B33,'Custos Fornecedores'!$A$2:$A$55,"Alquimia"),0)</f>
        <v>0.322</v>
      </c>
      <c r="G33" s="11" t="n">
        <f aca="false">IF(E33=0,F33,IF(F33=0,E33,MAX(E33,F33)))</f>
        <v>0.4617</v>
      </c>
      <c r="H33" s="10" t="str">
        <f aca="false">IF(AND(E33=0,F33=0),"SEM DADOS",IF(E33=0,"Alquimia (único)",IF(F33=0,"Marfel (único)",IF(E33&gt;=F33,"Marfel","Alquimia"))))</f>
        <v>Marfel</v>
      </c>
      <c r="I33" s="12" t="n">
        <v>0.3</v>
      </c>
      <c r="J33" s="11" t="n">
        <f aca="false">I33*D33</f>
        <v>270</v>
      </c>
      <c r="K33" s="11" t="n">
        <f aca="false">G33+I33</f>
        <v>0.7617</v>
      </c>
      <c r="L33" s="13" t="n">
        <v>0.48</v>
      </c>
      <c r="M33" s="11" t="n">
        <f aca="false">K33*(1+L33)</f>
        <v>1.127316</v>
      </c>
      <c r="N33" s="12" t="n">
        <v>1.06</v>
      </c>
      <c r="O33" s="11" t="n">
        <f aca="false">M33-N33</f>
        <v>0.0673159999999999</v>
      </c>
      <c r="P33" s="14" t="str">
        <f aca="false">IF(ISNUMBER(SEARCH("único",H33)),"Custo disponível de apenas 1 fornecedor para este tamanho — ver aba Inconsistências.","")</f>
        <v/>
      </c>
    </row>
    <row r="34" customFormat="false" ht="15" hidden="false" customHeight="false" outlineLevel="0" collapsed="false">
      <c r="A34" s="9" t="s">
        <v>10</v>
      </c>
      <c r="B34" s="10" t="s">
        <v>19</v>
      </c>
      <c r="C34" s="10" t="s">
        <v>66</v>
      </c>
      <c r="D34" s="10" t="n">
        <v>1000</v>
      </c>
      <c r="E34" s="11" t="n">
        <f aca="false">IFERROR(_xlfn.MAXIFS('Custos Fornecedores'!$I$2:$I$55,'Custos Fornecedores'!$B$2:$B$55,$A34,'Custos Fornecedores'!$C$2:$C$55,$B34,'Custos Fornecedores'!$A$2:$A$55,"Marfel"),0)</f>
        <v>0.4617</v>
      </c>
      <c r="F34" s="11" t="n">
        <f aca="false">IFERROR(_xlfn.MAXIFS('Custos Fornecedores'!$I$2:$I$55,'Custos Fornecedores'!$B$2:$B$55,$A34,'Custos Fornecedores'!$C$2:$C$55,$B34,'Custos Fornecedores'!$A$2:$A$55,"Alquimia"),0)</f>
        <v>0.322</v>
      </c>
      <c r="G34" s="11" t="n">
        <f aca="false">IF(E34=0,F34,IF(F34=0,E34,MAX(E34,F34)))</f>
        <v>0.4617</v>
      </c>
      <c r="H34" s="10" t="str">
        <f aca="false">IF(AND(E34=0,F34=0),"SEM DADOS",IF(E34=0,"Alquimia (único)",IF(F34=0,"Marfel (único)",IF(E34&gt;=F34,"Marfel","Alquimia"))))</f>
        <v>Marfel</v>
      </c>
      <c r="I34" s="12" t="n">
        <v>0.3</v>
      </c>
      <c r="J34" s="11" t="n">
        <f aca="false">I34*D34</f>
        <v>300</v>
      </c>
      <c r="K34" s="11" t="n">
        <f aca="false">G34+I34</f>
        <v>0.7617</v>
      </c>
      <c r="L34" s="13" t="n">
        <v>0.4</v>
      </c>
      <c r="M34" s="11" t="n">
        <f aca="false">K34*(1+L34)</f>
        <v>1.06638</v>
      </c>
      <c r="N34" s="12" t="n">
        <v>1.01</v>
      </c>
      <c r="O34" s="11" t="n">
        <f aca="false">M34-N34</f>
        <v>0.0563799999999999</v>
      </c>
      <c r="P34" s="14" t="str">
        <f aca="false">IF(ISNUMBER(SEARCH("único",H34)),"Custo disponível de apenas 1 fornecedor para este tamanho — ver aba Inconsistências.","")</f>
        <v/>
      </c>
    </row>
    <row r="35" customFormat="false" ht="15" hidden="false" customHeight="false" outlineLevel="0" collapsed="false">
      <c r="A35" s="9" t="s">
        <v>10</v>
      </c>
      <c r="B35" s="10" t="s">
        <v>20</v>
      </c>
      <c r="C35" s="10" t="s">
        <v>57</v>
      </c>
      <c r="D35" s="10" t="n">
        <v>100</v>
      </c>
      <c r="E35" s="11" t="n">
        <f aca="false">IFERROR(_xlfn.MAXIFS('Custos Fornecedores'!$I$2:$I$55,'Custos Fornecedores'!$B$2:$B$55,$A35,'Custos Fornecedores'!$C$2:$C$55,$B35,'Custos Fornecedores'!$A$2:$A$55,"Marfel"),0)</f>
        <v>0.6498</v>
      </c>
      <c r="F35" s="11" t="n">
        <f aca="false">IFERROR(_xlfn.MAXIFS('Custos Fornecedores'!$I$2:$I$55,'Custos Fornecedores'!$B$2:$B$55,$A35,'Custos Fornecedores'!$C$2:$C$55,$B35,'Custos Fornecedores'!$A$2:$A$55,"Alquimia"),0)</f>
        <v>0.4347</v>
      </c>
      <c r="G35" s="11" t="n">
        <f aca="false">IF(E35=0,F35,IF(F35=0,E35,MAX(E35,F35)))</f>
        <v>0.6498</v>
      </c>
      <c r="H35" s="10" t="str">
        <f aca="false">IF(AND(E35=0,F35=0),"SEM DADOS",IF(E35=0,"Alquimia (único)",IF(F35=0,"Marfel (único)",IF(E35&gt;=F35,"Marfel","Alquimia"))))</f>
        <v>Marfel</v>
      </c>
      <c r="I35" s="12" t="n">
        <v>0.3</v>
      </c>
      <c r="J35" s="11" t="n">
        <f aca="false">I35*D35</f>
        <v>30</v>
      </c>
      <c r="K35" s="11" t="n">
        <f aca="false">G35+I35</f>
        <v>0.9498</v>
      </c>
      <c r="L35" s="13" t="n">
        <v>1</v>
      </c>
      <c r="M35" s="11" t="n">
        <f aca="false">K35*(1+L35)</f>
        <v>1.8996</v>
      </c>
      <c r="N35" s="12" t="n">
        <v>1.78</v>
      </c>
      <c r="O35" s="11" t="n">
        <f aca="false">M35-N35</f>
        <v>0.1196</v>
      </c>
      <c r="P35" s="14" t="str">
        <f aca="false">IF(ISNUMBER(SEARCH("único",H35)),"Custo disponível de apenas 1 fornecedor para este tamanho — ver aba Inconsistências.","")</f>
        <v/>
      </c>
    </row>
    <row r="36" customFormat="false" ht="15" hidden="false" customHeight="false" outlineLevel="0" collapsed="false">
      <c r="A36" s="9" t="s">
        <v>10</v>
      </c>
      <c r="B36" s="10" t="s">
        <v>20</v>
      </c>
      <c r="C36" s="10" t="s">
        <v>58</v>
      </c>
      <c r="D36" s="10" t="n">
        <v>200</v>
      </c>
      <c r="E36" s="11" t="n">
        <f aca="false">IFERROR(_xlfn.MAXIFS('Custos Fornecedores'!$I$2:$I$55,'Custos Fornecedores'!$B$2:$B$55,$A36,'Custos Fornecedores'!$C$2:$C$55,$B36,'Custos Fornecedores'!$A$2:$A$55,"Marfel"),0)</f>
        <v>0.6498</v>
      </c>
      <c r="F36" s="11" t="n">
        <f aca="false">IFERROR(_xlfn.MAXIFS('Custos Fornecedores'!$I$2:$I$55,'Custos Fornecedores'!$B$2:$B$55,$A36,'Custos Fornecedores'!$C$2:$C$55,$B36,'Custos Fornecedores'!$A$2:$A$55,"Alquimia"),0)</f>
        <v>0.4347</v>
      </c>
      <c r="G36" s="11" t="n">
        <f aca="false">IF(E36=0,F36,IF(F36=0,E36,MAX(E36,F36)))</f>
        <v>0.6498</v>
      </c>
      <c r="H36" s="10" t="str">
        <f aca="false">IF(AND(E36=0,F36=0),"SEM DADOS",IF(E36=0,"Alquimia (único)",IF(F36=0,"Marfel (único)",IF(E36&gt;=F36,"Marfel","Alquimia"))))</f>
        <v>Marfel</v>
      </c>
      <c r="I36" s="12" t="n">
        <v>0.3</v>
      </c>
      <c r="J36" s="11" t="n">
        <f aca="false">I36*D36</f>
        <v>60</v>
      </c>
      <c r="K36" s="11" t="n">
        <f aca="false">G36+I36</f>
        <v>0.9498</v>
      </c>
      <c r="L36" s="13" t="n">
        <v>0.75</v>
      </c>
      <c r="M36" s="11" t="n">
        <f aca="false">K36*(1+L36)</f>
        <v>1.66215</v>
      </c>
      <c r="N36" s="12" t="n">
        <v>1.56</v>
      </c>
      <c r="O36" s="11" t="n">
        <f aca="false">M36-N36</f>
        <v>0.10215</v>
      </c>
      <c r="P36" s="14" t="str">
        <f aca="false">IF(ISNUMBER(SEARCH("único",H36)),"Custo disponível de apenas 1 fornecedor para este tamanho — ver aba Inconsistências.","")</f>
        <v/>
      </c>
    </row>
    <row r="37" customFormat="false" ht="15" hidden="false" customHeight="false" outlineLevel="0" collapsed="false">
      <c r="A37" s="9" t="s">
        <v>10</v>
      </c>
      <c r="B37" s="10" t="s">
        <v>20</v>
      </c>
      <c r="C37" s="10" t="s">
        <v>59</v>
      </c>
      <c r="D37" s="10" t="n">
        <v>300</v>
      </c>
      <c r="E37" s="11" t="n">
        <f aca="false">IFERROR(_xlfn.MAXIFS('Custos Fornecedores'!$I$2:$I$55,'Custos Fornecedores'!$B$2:$B$55,$A37,'Custos Fornecedores'!$C$2:$C$55,$B37,'Custos Fornecedores'!$A$2:$A$55,"Marfel"),0)</f>
        <v>0.6498</v>
      </c>
      <c r="F37" s="11" t="n">
        <f aca="false">IFERROR(_xlfn.MAXIFS('Custos Fornecedores'!$I$2:$I$55,'Custos Fornecedores'!$B$2:$B$55,$A37,'Custos Fornecedores'!$C$2:$C$55,$B37,'Custos Fornecedores'!$A$2:$A$55,"Alquimia"),0)</f>
        <v>0.4347</v>
      </c>
      <c r="G37" s="11" t="n">
        <f aca="false">IF(E37=0,F37,IF(F37=0,E37,MAX(E37,F37)))</f>
        <v>0.6498</v>
      </c>
      <c r="H37" s="10" t="str">
        <f aca="false">IF(AND(E37=0,F37=0),"SEM DADOS",IF(E37=0,"Alquimia (único)",IF(F37=0,"Marfel (único)",IF(E37&gt;=F37,"Marfel","Alquimia"))))</f>
        <v>Marfel</v>
      </c>
      <c r="I37" s="12" t="n">
        <v>0.3</v>
      </c>
      <c r="J37" s="11" t="n">
        <f aca="false">I37*D37</f>
        <v>90</v>
      </c>
      <c r="K37" s="11" t="n">
        <f aca="false">G37+I37</f>
        <v>0.9498</v>
      </c>
      <c r="L37" s="13" t="n">
        <v>0.7</v>
      </c>
      <c r="M37" s="11" t="n">
        <f aca="false">K37*(1+L37)</f>
        <v>1.61466</v>
      </c>
      <c r="N37" s="12" t="n">
        <v>1.51</v>
      </c>
      <c r="O37" s="11" t="n">
        <f aca="false">M37-N37</f>
        <v>0.10466</v>
      </c>
      <c r="P37" s="14" t="str">
        <f aca="false">IF(ISNUMBER(SEARCH("único",H37)),"Custo disponível de apenas 1 fornecedor para este tamanho — ver aba Inconsistências.","")</f>
        <v/>
      </c>
    </row>
    <row r="38" customFormat="false" ht="15" hidden="false" customHeight="false" outlineLevel="0" collapsed="false">
      <c r="A38" s="9" t="s">
        <v>10</v>
      </c>
      <c r="B38" s="10" t="s">
        <v>20</v>
      </c>
      <c r="C38" s="10" t="s">
        <v>60</v>
      </c>
      <c r="D38" s="10" t="n">
        <v>400</v>
      </c>
      <c r="E38" s="11" t="n">
        <f aca="false">IFERROR(_xlfn.MAXIFS('Custos Fornecedores'!$I$2:$I$55,'Custos Fornecedores'!$B$2:$B$55,$A38,'Custos Fornecedores'!$C$2:$C$55,$B38,'Custos Fornecedores'!$A$2:$A$55,"Marfel"),0)</f>
        <v>0.6498</v>
      </c>
      <c r="F38" s="11" t="n">
        <f aca="false">IFERROR(_xlfn.MAXIFS('Custos Fornecedores'!$I$2:$I$55,'Custos Fornecedores'!$B$2:$B$55,$A38,'Custos Fornecedores'!$C$2:$C$55,$B38,'Custos Fornecedores'!$A$2:$A$55,"Alquimia"),0)</f>
        <v>0.4347</v>
      </c>
      <c r="G38" s="11" t="n">
        <f aca="false">IF(E38=0,F38,IF(F38=0,E38,MAX(E38,F38)))</f>
        <v>0.6498</v>
      </c>
      <c r="H38" s="10" t="str">
        <f aca="false">IF(AND(E38=0,F38=0),"SEM DADOS",IF(E38=0,"Alquimia (único)",IF(F38=0,"Marfel (único)",IF(E38&gt;=F38,"Marfel","Alquimia"))))</f>
        <v>Marfel</v>
      </c>
      <c r="I38" s="12" t="n">
        <v>0.3</v>
      </c>
      <c r="J38" s="11" t="n">
        <f aca="false">I38*D38</f>
        <v>120</v>
      </c>
      <c r="K38" s="11" t="n">
        <f aca="false">G38+I38</f>
        <v>0.9498</v>
      </c>
      <c r="L38" s="13" t="n">
        <v>0.65</v>
      </c>
      <c r="M38" s="11" t="n">
        <f aca="false">K38*(1+L38)</f>
        <v>1.56717</v>
      </c>
      <c r="N38" s="12" t="n">
        <v>1.47</v>
      </c>
      <c r="O38" s="11" t="n">
        <f aca="false">M38-N38</f>
        <v>0.09717</v>
      </c>
      <c r="P38" s="14" t="str">
        <f aca="false">IF(ISNUMBER(SEARCH("único",H38)),"Custo disponível de apenas 1 fornecedor para este tamanho — ver aba Inconsistências.","")</f>
        <v/>
      </c>
    </row>
    <row r="39" customFormat="false" ht="15" hidden="false" customHeight="false" outlineLevel="0" collapsed="false">
      <c r="A39" s="9" t="s">
        <v>10</v>
      </c>
      <c r="B39" s="10" t="s">
        <v>20</v>
      </c>
      <c r="C39" s="10" t="s">
        <v>61</v>
      </c>
      <c r="D39" s="10" t="n">
        <v>500</v>
      </c>
      <c r="E39" s="11" t="n">
        <f aca="false">IFERROR(_xlfn.MAXIFS('Custos Fornecedores'!$I$2:$I$55,'Custos Fornecedores'!$B$2:$B$55,$A39,'Custos Fornecedores'!$C$2:$C$55,$B39,'Custos Fornecedores'!$A$2:$A$55,"Marfel"),0)</f>
        <v>0.6498</v>
      </c>
      <c r="F39" s="11" t="n">
        <f aca="false">IFERROR(_xlfn.MAXIFS('Custos Fornecedores'!$I$2:$I$55,'Custos Fornecedores'!$B$2:$B$55,$A39,'Custos Fornecedores'!$C$2:$C$55,$B39,'Custos Fornecedores'!$A$2:$A$55,"Alquimia"),0)</f>
        <v>0.4347</v>
      </c>
      <c r="G39" s="11" t="n">
        <f aca="false">IF(E39=0,F39,IF(F39=0,E39,MAX(E39,F39)))</f>
        <v>0.6498</v>
      </c>
      <c r="H39" s="10" t="str">
        <f aca="false">IF(AND(E39=0,F39=0),"SEM DADOS",IF(E39=0,"Alquimia (único)",IF(F39=0,"Marfel (único)",IF(E39&gt;=F39,"Marfel","Alquimia"))))</f>
        <v>Marfel</v>
      </c>
      <c r="I39" s="12" t="n">
        <v>0.3</v>
      </c>
      <c r="J39" s="11" t="n">
        <f aca="false">I39*D39</f>
        <v>150</v>
      </c>
      <c r="K39" s="11" t="n">
        <f aca="false">G39+I39</f>
        <v>0.9498</v>
      </c>
      <c r="L39" s="13" t="n">
        <v>0.6</v>
      </c>
      <c r="M39" s="11" t="n">
        <f aca="false">K39*(1+L39)</f>
        <v>1.51968</v>
      </c>
      <c r="N39" s="12" t="n">
        <v>1.42</v>
      </c>
      <c r="O39" s="11" t="n">
        <f aca="false">M39-N39</f>
        <v>0.0996800000000002</v>
      </c>
      <c r="P39" s="14" t="str">
        <f aca="false">IF(ISNUMBER(SEARCH("único",H39)),"Custo disponível de apenas 1 fornecedor para este tamanho — ver aba Inconsistências.","")</f>
        <v/>
      </c>
    </row>
    <row r="40" customFormat="false" ht="15" hidden="false" customHeight="false" outlineLevel="0" collapsed="false">
      <c r="A40" s="9" t="s">
        <v>10</v>
      </c>
      <c r="B40" s="10" t="s">
        <v>20</v>
      </c>
      <c r="C40" s="10" t="s">
        <v>62</v>
      </c>
      <c r="D40" s="10" t="n">
        <v>600</v>
      </c>
      <c r="E40" s="11" t="n">
        <f aca="false">IFERROR(_xlfn.MAXIFS('Custos Fornecedores'!$I$2:$I$55,'Custos Fornecedores'!$B$2:$B$55,$A40,'Custos Fornecedores'!$C$2:$C$55,$B40,'Custos Fornecedores'!$A$2:$A$55,"Marfel"),0)</f>
        <v>0.6498</v>
      </c>
      <c r="F40" s="11" t="n">
        <f aca="false">IFERROR(_xlfn.MAXIFS('Custos Fornecedores'!$I$2:$I$55,'Custos Fornecedores'!$B$2:$B$55,$A40,'Custos Fornecedores'!$C$2:$C$55,$B40,'Custos Fornecedores'!$A$2:$A$55,"Alquimia"),0)</f>
        <v>0.4347</v>
      </c>
      <c r="G40" s="11" t="n">
        <f aca="false">IF(E40=0,F40,IF(F40=0,E40,MAX(E40,F40)))</f>
        <v>0.6498</v>
      </c>
      <c r="H40" s="10" t="str">
        <f aca="false">IF(AND(E40=0,F40=0),"SEM DADOS",IF(E40=0,"Alquimia (único)",IF(F40=0,"Marfel (único)",IF(E40&gt;=F40,"Marfel","Alquimia"))))</f>
        <v>Marfel</v>
      </c>
      <c r="I40" s="12" t="n">
        <v>0.3</v>
      </c>
      <c r="J40" s="11" t="n">
        <f aca="false">I40*D40</f>
        <v>180</v>
      </c>
      <c r="K40" s="11" t="n">
        <f aca="false">G40+I40</f>
        <v>0.9498</v>
      </c>
      <c r="L40" s="13" t="n">
        <v>0.57</v>
      </c>
      <c r="M40" s="11" t="n">
        <f aca="false">K40*(1+L40)</f>
        <v>1.491186</v>
      </c>
      <c r="N40" s="12" t="n">
        <v>1.4</v>
      </c>
      <c r="O40" s="11" t="n">
        <f aca="false">M40-N40</f>
        <v>0.091186</v>
      </c>
      <c r="P40" s="14" t="str">
        <f aca="false">IF(ISNUMBER(SEARCH("único",H40)),"Custo disponível de apenas 1 fornecedor para este tamanho — ver aba Inconsistências.","")</f>
        <v/>
      </c>
    </row>
    <row r="41" customFormat="false" ht="15" hidden="false" customHeight="false" outlineLevel="0" collapsed="false">
      <c r="A41" s="9" t="s">
        <v>10</v>
      </c>
      <c r="B41" s="10" t="s">
        <v>20</v>
      </c>
      <c r="C41" s="10" t="s">
        <v>63</v>
      </c>
      <c r="D41" s="10" t="n">
        <v>700</v>
      </c>
      <c r="E41" s="11" t="n">
        <f aca="false">IFERROR(_xlfn.MAXIFS('Custos Fornecedores'!$I$2:$I$55,'Custos Fornecedores'!$B$2:$B$55,$A41,'Custos Fornecedores'!$C$2:$C$55,$B41,'Custos Fornecedores'!$A$2:$A$55,"Marfel"),0)</f>
        <v>0.6498</v>
      </c>
      <c r="F41" s="11" t="n">
        <f aca="false">IFERROR(_xlfn.MAXIFS('Custos Fornecedores'!$I$2:$I$55,'Custos Fornecedores'!$B$2:$B$55,$A41,'Custos Fornecedores'!$C$2:$C$55,$B41,'Custos Fornecedores'!$A$2:$A$55,"Alquimia"),0)</f>
        <v>0.4347</v>
      </c>
      <c r="G41" s="11" t="n">
        <f aca="false">IF(E41=0,F41,IF(F41=0,E41,MAX(E41,F41)))</f>
        <v>0.6498</v>
      </c>
      <c r="H41" s="10" t="str">
        <f aca="false">IF(AND(E41=0,F41=0),"SEM DADOS",IF(E41=0,"Alquimia (único)",IF(F41=0,"Marfel (único)",IF(E41&gt;=F41,"Marfel","Alquimia"))))</f>
        <v>Marfel</v>
      </c>
      <c r="I41" s="12" t="n">
        <v>0.3</v>
      </c>
      <c r="J41" s="11" t="n">
        <f aca="false">I41*D41</f>
        <v>210</v>
      </c>
      <c r="K41" s="11" t="n">
        <f aca="false">G41+I41</f>
        <v>0.9498</v>
      </c>
      <c r="L41" s="13" t="n">
        <v>0.54</v>
      </c>
      <c r="M41" s="11" t="n">
        <f aca="false">K41*(1+L41)</f>
        <v>1.462692</v>
      </c>
      <c r="N41" s="12" t="n">
        <v>1.37</v>
      </c>
      <c r="O41" s="11" t="n">
        <f aca="false">M41-N41</f>
        <v>0.092692</v>
      </c>
      <c r="P41" s="14" t="str">
        <f aca="false">IF(ISNUMBER(SEARCH("único",H41)),"Custo disponível de apenas 1 fornecedor para este tamanho — ver aba Inconsistências.","")</f>
        <v/>
      </c>
    </row>
    <row r="42" customFormat="false" ht="15" hidden="false" customHeight="false" outlineLevel="0" collapsed="false">
      <c r="A42" s="9" t="s">
        <v>10</v>
      </c>
      <c r="B42" s="10" t="s">
        <v>20</v>
      </c>
      <c r="C42" s="10" t="s">
        <v>64</v>
      </c>
      <c r="D42" s="10" t="n">
        <v>800</v>
      </c>
      <c r="E42" s="11" t="n">
        <f aca="false">IFERROR(_xlfn.MAXIFS('Custos Fornecedores'!$I$2:$I$55,'Custos Fornecedores'!$B$2:$B$55,$A42,'Custos Fornecedores'!$C$2:$C$55,$B42,'Custos Fornecedores'!$A$2:$A$55,"Marfel"),0)</f>
        <v>0.6498</v>
      </c>
      <c r="F42" s="11" t="n">
        <f aca="false">IFERROR(_xlfn.MAXIFS('Custos Fornecedores'!$I$2:$I$55,'Custos Fornecedores'!$B$2:$B$55,$A42,'Custos Fornecedores'!$C$2:$C$55,$B42,'Custos Fornecedores'!$A$2:$A$55,"Alquimia"),0)</f>
        <v>0.4347</v>
      </c>
      <c r="G42" s="11" t="n">
        <f aca="false">IF(E42=0,F42,IF(F42=0,E42,MAX(E42,F42)))</f>
        <v>0.6498</v>
      </c>
      <c r="H42" s="10" t="str">
        <f aca="false">IF(AND(E42=0,F42=0),"SEM DADOS",IF(E42=0,"Alquimia (único)",IF(F42=0,"Marfel (único)",IF(E42&gt;=F42,"Marfel","Alquimia"))))</f>
        <v>Marfel</v>
      </c>
      <c r="I42" s="12" t="n">
        <v>0.3</v>
      </c>
      <c r="J42" s="11" t="n">
        <f aca="false">I42*D42</f>
        <v>240</v>
      </c>
      <c r="K42" s="11" t="n">
        <f aca="false">G42+I42</f>
        <v>0.9498</v>
      </c>
      <c r="L42" s="13" t="n">
        <v>0.51</v>
      </c>
      <c r="M42" s="11" t="n">
        <f aca="false">K42*(1+L42)</f>
        <v>1.434198</v>
      </c>
      <c r="N42" s="12" t="n">
        <v>1.34</v>
      </c>
      <c r="O42" s="11" t="n">
        <f aca="false">M42-N42</f>
        <v>0.094198</v>
      </c>
      <c r="P42" s="14" t="str">
        <f aca="false">IF(ISNUMBER(SEARCH("único",H42)),"Custo disponível de apenas 1 fornecedor para este tamanho — ver aba Inconsistências.","")</f>
        <v/>
      </c>
    </row>
    <row r="43" customFormat="false" ht="15" hidden="false" customHeight="false" outlineLevel="0" collapsed="false">
      <c r="A43" s="9" t="s">
        <v>10</v>
      </c>
      <c r="B43" s="10" t="s">
        <v>20</v>
      </c>
      <c r="C43" s="10" t="s">
        <v>65</v>
      </c>
      <c r="D43" s="10" t="n">
        <v>900</v>
      </c>
      <c r="E43" s="11" t="n">
        <f aca="false">IFERROR(_xlfn.MAXIFS('Custos Fornecedores'!$I$2:$I$55,'Custos Fornecedores'!$B$2:$B$55,$A43,'Custos Fornecedores'!$C$2:$C$55,$B43,'Custos Fornecedores'!$A$2:$A$55,"Marfel"),0)</f>
        <v>0.6498</v>
      </c>
      <c r="F43" s="11" t="n">
        <f aca="false">IFERROR(_xlfn.MAXIFS('Custos Fornecedores'!$I$2:$I$55,'Custos Fornecedores'!$B$2:$B$55,$A43,'Custos Fornecedores'!$C$2:$C$55,$B43,'Custos Fornecedores'!$A$2:$A$55,"Alquimia"),0)</f>
        <v>0.4347</v>
      </c>
      <c r="G43" s="11" t="n">
        <f aca="false">IF(E43=0,F43,IF(F43=0,E43,MAX(E43,F43)))</f>
        <v>0.6498</v>
      </c>
      <c r="H43" s="10" t="str">
        <f aca="false">IF(AND(E43=0,F43=0),"SEM DADOS",IF(E43=0,"Alquimia (único)",IF(F43=0,"Marfel (único)",IF(E43&gt;=F43,"Marfel","Alquimia"))))</f>
        <v>Marfel</v>
      </c>
      <c r="I43" s="12" t="n">
        <v>0.3</v>
      </c>
      <c r="J43" s="11" t="n">
        <f aca="false">I43*D43</f>
        <v>270</v>
      </c>
      <c r="K43" s="11" t="n">
        <f aca="false">G43+I43</f>
        <v>0.9498</v>
      </c>
      <c r="L43" s="13" t="n">
        <v>0.48</v>
      </c>
      <c r="M43" s="11" t="n">
        <f aca="false">K43*(1+L43)</f>
        <v>1.405704</v>
      </c>
      <c r="N43" s="12" t="n">
        <v>1.32</v>
      </c>
      <c r="O43" s="11" t="n">
        <f aca="false">M43-N43</f>
        <v>0.0857039999999998</v>
      </c>
      <c r="P43" s="14" t="str">
        <f aca="false">IF(ISNUMBER(SEARCH("único",H43)),"Custo disponível de apenas 1 fornecedor para este tamanho — ver aba Inconsistências.","")</f>
        <v/>
      </c>
    </row>
    <row r="44" customFormat="false" ht="15" hidden="false" customHeight="false" outlineLevel="0" collapsed="false">
      <c r="A44" s="9" t="s">
        <v>10</v>
      </c>
      <c r="B44" s="10" t="s">
        <v>20</v>
      </c>
      <c r="C44" s="10" t="s">
        <v>66</v>
      </c>
      <c r="D44" s="10" t="n">
        <v>1000</v>
      </c>
      <c r="E44" s="11" t="n">
        <f aca="false">IFERROR(_xlfn.MAXIFS('Custos Fornecedores'!$I$2:$I$55,'Custos Fornecedores'!$B$2:$B$55,$A44,'Custos Fornecedores'!$C$2:$C$55,$B44,'Custos Fornecedores'!$A$2:$A$55,"Marfel"),0)</f>
        <v>0.6498</v>
      </c>
      <c r="F44" s="11" t="n">
        <f aca="false">IFERROR(_xlfn.MAXIFS('Custos Fornecedores'!$I$2:$I$55,'Custos Fornecedores'!$B$2:$B$55,$A44,'Custos Fornecedores'!$C$2:$C$55,$B44,'Custos Fornecedores'!$A$2:$A$55,"Alquimia"),0)</f>
        <v>0.4347</v>
      </c>
      <c r="G44" s="11" t="n">
        <f aca="false">IF(E44=0,F44,IF(F44=0,E44,MAX(E44,F44)))</f>
        <v>0.6498</v>
      </c>
      <c r="H44" s="10" t="str">
        <f aca="false">IF(AND(E44=0,F44=0),"SEM DADOS",IF(E44=0,"Alquimia (único)",IF(F44=0,"Marfel (único)",IF(E44&gt;=F44,"Marfel","Alquimia"))))</f>
        <v>Marfel</v>
      </c>
      <c r="I44" s="12" t="n">
        <v>0.3</v>
      </c>
      <c r="J44" s="11" t="n">
        <f aca="false">I44*D44</f>
        <v>300</v>
      </c>
      <c r="K44" s="11" t="n">
        <f aca="false">G44+I44</f>
        <v>0.9498</v>
      </c>
      <c r="L44" s="13" t="n">
        <v>0.4</v>
      </c>
      <c r="M44" s="11" t="n">
        <f aca="false">K44*(1+L44)</f>
        <v>1.32972</v>
      </c>
      <c r="N44" s="12" t="n">
        <v>1.24</v>
      </c>
      <c r="O44" s="11" t="n">
        <f aca="false">M44-N44</f>
        <v>0.0897199999999998</v>
      </c>
      <c r="P44" s="14" t="str">
        <f aca="false">IF(ISNUMBER(SEARCH("único",H44)),"Custo disponível de apenas 1 fornecedor para este tamanho — ver aba Inconsistências.","")</f>
        <v/>
      </c>
    </row>
    <row r="45" customFormat="false" ht="15" hidden="false" customHeight="false" outlineLevel="0" collapsed="false">
      <c r="A45" s="9" t="s">
        <v>10</v>
      </c>
      <c r="B45" s="10" t="s">
        <v>21</v>
      </c>
      <c r="C45" s="10" t="s">
        <v>57</v>
      </c>
      <c r="D45" s="10" t="n">
        <v>100</v>
      </c>
      <c r="E45" s="11" t="n">
        <f aca="false">IFERROR(_xlfn.MAXIFS('Custos Fornecedores'!$I$2:$I$55,'Custos Fornecedores'!$B$2:$B$55,$A45,'Custos Fornecedores'!$C$2:$C$55,$B45,'Custos Fornecedores'!$A$2:$A$55,"Marfel"),0)</f>
        <v>0.9576</v>
      </c>
      <c r="F45" s="11" t="n">
        <f aca="false">IFERROR(_xlfn.MAXIFS('Custos Fornecedores'!$I$2:$I$55,'Custos Fornecedores'!$B$2:$B$55,$A45,'Custos Fornecedores'!$C$2:$C$55,$B45,'Custos Fornecedores'!$A$2:$A$55,"Alquimia"),0)</f>
        <v>0.795</v>
      </c>
      <c r="G45" s="11" t="n">
        <f aca="false">IF(E45=0,F45,IF(F45=0,E45,MAX(E45,F45)))</f>
        <v>0.9576</v>
      </c>
      <c r="H45" s="10" t="str">
        <f aca="false">IF(AND(E45=0,F45=0),"SEM DADOS",IF(E45=0,"Alquimia (único)",IF(F45=0,"Marfel (único)",IF(E45&gt;=F45,"Marfel","Alquimia"))))</f>
        <v>Marfel</v>
      </c>
      <c r="I45" s="12" t="n">
        <v>0.3</v>
      </c>
      <c r="J45" s="11" t="n">
        <f aca="false">I45*D45</f>
        <v>30</v>
      </c>
      <c r="K45" s="11" t="n">
        <f aca="false">G45+I45</f>
        <v>1.2576</v>
      </c>
      <c r="L45" s="13" t="n">
        <v>1</v>
      </c>
      <c r="M45" s="11" t="n">
        <f aca="false">K45*(1+L45)</f>
        <v>2.5152</v>
      </c>
      <c r="N45" s="12" t="n">
        <v>2.34</v>
      </c>
      <c r="O45" s="11" t="n">
        <f aca="false">M45-N45</f>
        <v>0.1752</v>
      </c>
      <c r="P45" s="14" t="str">
        <f aca="false">IF(ISNUMBER(SEARCH("único",H45)),"Custo disponível de apenas 1 fornecedor para este tamanho — ver aba Inconsistências.","")</f>
        <v/>
      </c>
    </row>
    <row r="46" customFormat="false" ht="15" hidden="false" customHeight="false" outlineLevel="0" collapsed="false">
      <c r="A46" s="9" t="s">
        <v>10</v>
      </c>
      <c r="B46" s="10" t="s">
        <v>21</v>
      </c>
      <c r="C46" s="10" t="s">
        <v>58</v>
      </c>
      <c r="D46" s="10" t="n">
        <v>200</v>
      </c>
      <c r="E46" s="11" t="n">
        <f aca="false">IFERROR(_xlfn.MAXIFS('Custos Fornecedores'!$I$2:$I$55,'Custos Fornecedores'!$B$2:$B$55,$A46,'Custos Fornecedores'!$C$2:$C$55,$B46,'Custos Fornecedores'!$A$2:$A$55,"Marfel"),0)</f>
        <v>0.9576</v>
      </c>
      <c r="F46" s="11" t="n">
        <f aca="false">IFERROR(_xlfn.MAXIFS('Custos Fornecedores'!$I$2:$I$55,'Custos Fornecedores'!$B$2:$B$55,$A46,'Custos Fornecedores'!$C$2:$C$55,$B46,'Custos Fornecedores'!$A$2:$A$55,"Alquimia"),0)</f>
        <v>0.795</v>
      </c>
      <c r="G46" s="11" t="n">
        <f aca="false">IF(E46=0,F46,IF(F46=0,E46,MAX(E46,F46)))</f>
        <v>0.9576</v>
      </c>
      <c r="H46" s="10" t="str">
        <f aca="false">IF(AND(E46=0,F46=0),"SEM DADOS",IF(E46=0,"Alquimia (único)",IF(F46=0,"Marfel (único)",IF(E46&gt;=F46,"Marfel","Alquimia"))))</f>
        <v>Marfel</v>
      </c>
      <c r="I46" s="12" t="n">
        <v>0.3</v>
      </c>
      <c r="J46" s="11" t="n">
        <f aca="false">I46*D46</f>
        <v>60</v>
      </c>
      <c r="K46" s="11" t="n">
        <f aca="false">G46+I46</f>
        <v>1.2576</v>
      </c>
      <c r="L46" s="13" t="n">
        <v>0.75</v>
      </c>
      <c r="M46" s="11" t="n">
        <f aca="false">K46*(1+L46)</f>
        <v>2.2008</v>
      </c>
      <c r="N46" s="12" t="n">
        <v>2.04</v>
      </c>
      <c r="O46" s="11" t="n">
        <f aca="false">M46-N46</f>
        <v>0.1608</v>
      </c>
      <c r="P46" s="14" t="str">
        <f aca="false">IF(ISNUMBER(SEARCH("único",H46)),"Custo disponível de apenas 1 fornecedor para este tamanho — ver aba Inconsistências.","")</f>
        <v/>
      </c>
    </row>
    <row r="47" customFormat="false" ht="15" hidden="false" customHeight="false" outlineLevel="0" collapsed="false">
      <c r="A47" s="9" t="s">
        <v>10</v>
      </c>
      <c r="B47" s="10" t="s">
        <v>21</v>
      </c>
      <c r="C47" s="10" t="s">
        <v>59</v>
      </c>
      <c r="D47" s="10" t="n">
        <v>300</v>
      </c>
      <c r="E47" s="11" t="n">
        <f aca="false">IFERROR(_xlfn.MAXIFS('Custos Fornecedores'!$I$2:$I$55,'Custos Fornecedores'!$B$2:$B$55,$A47,'Custos Fornecedores'!$C$2:$C$55,$B47,'Custos Fornecedores'!$A$2:$A$55,"Marfel"),0)</f>
        <v>0.9576</v>
      </c>
      <c r="F47" s="11" t="n">
        <f aca="false">IFERROR(_xlfn.MAXIFS('Custos Fornecedores'!$I$2:$I$55,'Custos Fornecedores'!$B$2:$B$55,$A47,'Custos Fornecedores'!$C$2:$C$55,$B47,'Custos Fornecedores'!$A$2:$A$55,"Alquimia"),0)</f>
        <v>0.795</v>
      </c>
      <c r="G47" s="11" t="n">
        <f aca="false">IF(E47=0,F47,IF(F47=0,E47,MAX(E47,F47)))</f>
        <v>0.9576</v>
      </c>
      <c r="H47" s="10" t="str">
        <f aca="false">IF(AND(E47=0,F47=0),"SEM DADOS",IF(E47=0,"Alquimia (único)",IF(F47=0,"Marfel (único)",IF(E47&gt;=F47,"Marfel","Alquimia"))))</f>
        <v>Marfel</v>
      </c>
      <c r="I47" s="12" t="n">
        <v>0.3</v>
      </c>
      <c r="J47" s="11" t="n">
        <f aca="false">I47*D47</f>
        <v>90</v>
      </c>
      <c r="K47" s="11" t="n">
        <f aca="false">G47+I47</f>
        <v>1.2576</v>
      </c>
      <c r="L47" s="13" t="n">
        <v>0.7</v>
      </c>
      <c r="M47" s="11" t="n">
        <f aca="false">K47*(1+L47)</f>
        <v>2.13792</v>
      </c>
      <c r="N47" s="12" t="n">
        <v>1.99</v>
      </c>
      <c r="O47" s="11" t="n">
        <f aca="false">M47-N47</f>
        <v>0.14792</v>
      </c>
      <c r="P47" s="14" t="str">
        <f aca="false">IF(ISNUMBER(SEARCH("único",H47)),"Custo disponível de apenas 1 fornecedor para este tamanho — ver aba Inconsistências.","")</f>
        <v/>
      </c>
    </row>
    <row r="48" customFormat="false" ht="15" hidden="false" customHeight="false" outlineLevel="0" collapsed="false">
      <c r="A48" s="9" t="s">
        <v>10</v>
      </c>
      <c r="B48" s="10" t="s">
        <v>21</v>
      </c>
      <c r="C48" s="10" t="s">
        <v>60</v>
      </c>
      <c r="D48" s="10" t="n">
        <v>400</v>
      </c>
      <c r="E48" s="11" t="n">
        <f aca="false">IFERROR(_xlfn.MAXIFS('Custos Fornecedores'!$I$2:$I$55,'Custos Fornecedores'!$B$2:$B$55,$A48,'Custos Fornecedores'!$C$2:$C$55,$B48,'Custos Fornecedores'!$A$2:$A$55,"Marfel"),0)</f>
        <v>0.9576</v>
      </c>
      <c r="F48" s="11" t="n">
        <f aca="false">IFERROR(_xlfn.MAXIFS('Custos Fornecedores'!$I$2:$I$55,'Custos Fornecedores'!$B$2:$B$55,$A48,'Custos Fornecedores'!$C$2:$C$55,$B48,'Custos Fornecedores'!$A$2:$A$55,"Alquimia"),0)</f>
        <v>0.795</v>
      </c>
      <c r="G48" s="11" t="n">
        <f aca="false">IF(E48=0,F48,IF(F48=0,E48,MAX(E48,F48)))</f>
        <v>0.9576</v>
      </c>
      <c r="H48" s="10" t="str">
        <f aca="false">IF(AND(E48=0,F48=0),"SEM DADOS",IF(E48=0,"Alquimia (único)",IF(F48=0,"Marfel (único)",IF(E48&gt;=F48,"Marfel","Alquimia"))))</f>
        <v>Marfel</v>
      </c>
      <c r="I48" s="12" t="n">
        <v>0.3</v>
      </c>
      <c r="J48" s="11" t="n">
        <f aca="false">I48*D48</f>
        <v>120</v>
      </c>
      <c r="K48" s="11" t="n">
        <f aca="false">G48+I48</f>
        <v>1.2576</v>
      </c>
      <c r="L48" s="13" t="n">
        <v>0.65</v>
      </c>
      <c r="M48" s="11" t="n">
        <f aca="false">K48*(1+L48)</f>
        <v>2.07504</v>
      </c>
      <c r="N48" s="12" t="n">
        <v>1.93</v>
      </c>
      <c r="O48" s="11" t="n">
        <f aca="false">M48-N48</f>
        <v>0.14504</v>
      </c>
      <c r="P48" s="14" t="str">
        <f aca="false">IF(ISNUMBER(SEARCH("único",H48)),"Custo disponível de apenas 1 fornecedor para este tamanho — ver aba Inconsistências.","")</f>
        <v/>
      </c>
    </row>
    <row r="49" customFormat="false" ht="15" hidden="false" customHeight="false" outlineLevel="0" collapsed="false">
      <c r="A49" s="9" t="s">
        <v>10</v>
      </c>
      <c r="B49" s="10" t="s">
        <v>21</v>
      </c>
      <c r="C49" s="10" t="s">
        <v>61</v>
      </c>
      <c r="D49" s="10" t="n">
        <v>500</v>
      </c>
      <c r="E49" s="11" t="n">
        <f aca="false">IFERROR(_xlfn.MAXIFS('Custos Fornecedores'!$I$2:$I$55,'Custos Fornecedores'!$B$2:$B$55,$A49,'Custos Fornecedores'!$C$2:$C$55,$B49,'Custos Fornecedores'!$A$2:$A$55,"Marfel"),0)</f>
        <v>0.9576</v>
      </c>
      <c r="F49" s="11" t="n">
        <f aca="false">IFERROR(_xlfn.MAXIFS('Custos Fornecedores'!$I$2:$I$55,'Custos Fornecedores'!$B$2:$B$55,$A49,'Custos Fornecedores'!$C$2:$C$55,$B49,'Custos Fornecedores'!$A$2:$A$55,"Alquimia"),0)</f>
        <v>0.795</v>
      </c>
      <c r="G49" s="11" t="n">
        <f aca="false">IF(E49=0,F49,IF(F49=0,E49,MAX(E49,F49)))</f>
        <v>0.9576</v>
      </c>
      <c r="H49" s="10" t="str">
        <f aca="false">IF(AND(E49=0,F49=0),"SEM DADOS",IF(E49=0,"Alquimia (único)",IF(F49=0,"Marfel (único)",IF(E49&gt;=F49,"Marfel","Alquimia"))))</f>
        <v>Marfel</v>
      </c>
      <c r="I49" s="12" t="n">
        <v>0.3</v>
      </c>
      <c r="J49" s="11" t="n">
        <f aca="false">I49*D49</f>
        <v>150</v>
      </c>
      <c r="K49" s="11" t="n">
        <f aca="false">G49+I49</f>
        <v>1.2576</v>
      </c>
      <c r="L49" s="13" t="n">
        <v>0.6</v>
      </c>
      <c r="M49" s="11" t="n">
        <f aca="false">K49*(1+L49)</f>
        <v>2.01216</v>
      </c>
      <c r="N49" s="12" t="n">
        <v>1.87</v>
      </c>
      <c r="O49" s="11" t="n">
        <f aca="false">M49-N49</f>
        <v>0.14216</v>
      </c>
      <c r="P49" s="14" t="str">
        <f aca="false">IF(ISNUMBER(SEARCH("único",H49)),"Custo disponível de apenas 1 fornecedor para este tamanho — ver aba Inconsistências.","")</f>
        <v/>
      </c>
    </row>
    <row r="50" customFormat="false" ht="15" hidden="false" customHeight="false" outlineLevel="0" collapsed="false">
      <c r="A50" s="9" t="s">
        <v>10</v>
      </c>
      <c r="B50" s="10" t="s">
        <v>21</v>
      </c>
      <c r="C50" s="10" t="s">
        <v>62</v>
      </c>
      <c r="D50" s="10" t="n">
        <v>600</v>
      </c>
      <c r="E50" s="11" t="n">
        <f aca="false">IFERROR(_xlfn.MAXIFS('Custos Fornecedores'!$I$2:$I$55,'Custos Fornecedores'!$B$2:$B$55,$A50,'Custos Fornecedores'!$C$2:$C$55,$B50,'Custos Fornecedores'!$A$2:$A$55,"Marfel"),0)</f>
        <v>0.9576</v>
      </c>
      <c r="F50" s="11" t="n">
        <f aca="false">IFERROR(_xlfn.MAXIFS('Custos Fornecedores'!$I$2:$I$55,'Custos Fornecedores'!$B$2:$B$55,$A50,'Custos Fornecedores'!$C$2:$C$55,$B50,'Custos Fornecedores'!$A$2:$A$55,"Alquimia"),0)</f>
        <v>0.795</v>
      </c>
      <c r="G50" s="11" t="n">
        <f aca="false">IF(E50=0,F50,IF(F50=0,E50,MAX(E50,F50)))</f>
        <v>0.9576</v>
      </c>
      <c r="H50" s="10" t="str">
        <f aca="false">IF(AND(E50=0,F50=0),"SEM DADOS",IF(E50=0,"Alquimia (único)",IF(F50=0,"Marfel (único)",IF(E50&gt;=F50,"Marfel","Alquimia"))))</f>
        <v>Marfel</v>
      </c>
      <c r="I50" s="12" t="n">
        <v>0.3</v>
      </c>
      <c r="J50" s="11" t="n">
        <f aca="false">I50*D50</f>
        <v>180</v>
      </c>
      <c r="K50" s="11" t="n">
        <f aca="false">G50+I50</f>
        <v>1.2576</v>
      </c>
      <c r="L50" s="13" t="n">
        <v>0.57</v>
      </c>
      <c r="M50" s="11" t="n">
        <f aca="false">K50*(1+L50)</f>
        <v>1.974432</v>
      </c>
      <c r="N50" s="12" t="n">
        <v>1.83</v>
      </c>
      <c r="O50" s="11" t="n">
        <f aca="false">M50-N50</f>
        <v>0.144432</v>
      </c>
      <c r="P50" s="14" t="str">
        <f aca="false">IF(ISNUMBER(SEARCH("único",H50)),"Custo disponível de apenas 1 fornecedor para este tamanho — ver aba Inconsistências.","")</f>
        <v/>
      </c>
    </row>
    <row r="51" customFormat="false" ht="15" hidden="false" customHeight="false" outlineLevel="0" collapsed="false">
      <c r="A51" s="9" t="s">
        <v>10</v>
      </c>
      <c r="B51" s="10" t="s">
        <v>21</v>
      </c>
      <c r="C51" s="10" t="s">
        <v>63</v>
      </c>
      <c r="D51" s="10" t="n">
        <v>700</v>
      </c>
      <c r="E51" s="11" t="n">
        <f aca="false">IFERROR(_xlfn.MAXIFS('Custos Fornecedores'!$I$2:$I$55,'Custos Fornecedores'!$B$2:$B$55,$A51,'Custos Fornecedores'!$C$2:$C$55,$B51,'Custos Fornecedores'!$A$2:$A$55,"Marfel"),0)</f>
        <v>0.9576</v>
      </c>
      <c r="F51" s="11" t="n">
        <f aca="false">IFERROR(_xlfn.MAXIFS('Custos Fornecedores'!$I$2:$I$55,'Custos Fornecedores'!$B$2:$B$55,$A51,'Custos Fornecedores'!$C$2:$C$55,$B51,'Custos Fornecedores'!$A$2:$A$55,"Alquimia"),0)</f>
        <v>0.795</v>
      </c>
      <c r="G51" s="11" t="n">
        <f aca="false">IF(E51=0,F51,IF(F51=0,E51,MAX(E51,F51)))</f>
        <v>0.9576</v>
      </c>
      <c r="H51" s="10" t="str">
        <f aca="false">IF(AND(E51=0,F51=0),"SEM DADOS",IF(E51=0,"Alquimia (único)",IF(F51=0,"Marfel (único)",IF(E51&gt;=F51,"Marfel","Alquimia"))))</f>
        <v>Marfel</v>
      </c>
      <c r="I51" s="12" t="n">
        <v>0.3</v>
      </c>
      <c r="J51" s="11" t="n">
        <f aca="false">I51*D51</f>
        <v>210</v>
      </c>
      <c r="K51" s="11" t="n">
        <f aca="false">G51+I51</f>
        <v>1.2576</v>
      </c>
      <c r="L51" s="13" t="n">
        <v>0.54</v>
      </c>
      <c r="M51" s="11" t="n">
        <f aca="false">K51*(1+L51)</f>
        <v>1.936704</v>
      </c>
      <c r="N51" s="12" t="n">
        <v>1.8</v>
      </c>
      <c r="O51" s="11" t="n">
        <f aca="false">M51-N51</f>
        <v>0.136704</v>
      </c>
      <c r="P51" s="14" t="str">
        <f aca="false">IF(ISNUMBER(SEARCH("único",H51)),"Custo disponível de apenas 1 fornecedor para este tamanho — ver aba Inconsistências.","")</f>
        <v/>
      </c>
    </row>
    <row r="52" customFormat="false" ht="15" hidden="false" customHeight="false" outlineLevel="0" collapsed="false">
      <c r="A52" s="9" t="s">
        <v>10</v>
      </c>
      <c r="B52" s="10" t="s">
        <v>21</v>
      </c>
      <c r="C52" s="10" t="s">
        <v>64</v>
      </c>
      <c r="D52" s="10" t="n">
        <v>800</v>
      </c>
      <c r="E52" s="11" t="n">
        <f aca="false">IFERROR(_xlfn.MAXIFS('Custos Fornecedores'!$I$2:$I$55,'Custos Fornecedores'!$B$2:$B$55,$A52,'Custos Fornecedores'!$C$2:$C$55,$B52,'Custos Fornecedores'!$A$2:$A$55,"Marfel"),0)</f>
        <v>0.9576</v>
      </c>
      <c r="F52" s="11" t="n">
        <f aca="false">IFERROR(_xlfn.MAXIFS('Custos Fornecedores'!$I$2:$I$55,'Custos Fornecedores'!$B$2:$B$55,$A52,'Custos Fornecedores'!$C$2:$C$55,$B52,'Custos Fornecedores'!$A$2:$A$55,"Alquimia"),0)</f>
        <v>0.795</v>
      </c>
      <c r="G52" s="11" t="n">
        <f aca="false">IF(E52=0,F52,IF(F52=0,E52,MAX(E52,F52)))</f>
        <v>0.9576</v>
      </c>
      <c r="H52" s="10" t="str">
        <f aca="false">IF(AND(E52=0,F52=0),"SEM DADOS",IF(E52=0,"Alquimia (único)",IF(F52=0,"Marfel (único)",IF(E52&gt;=F52,"Marfel","Alquimia"))))</f>
        <v>Marfel</v>
      </c>
      <c r="I52" s="12" t="n">
        <v>0.3</v>
      </c>
      <c r="J52" s="11" t="n">
        <f aca="false">I52*D52</f>
        <v>240</v>
      </c>
      <c r="K52" s="11" t="n">
        <f aca="false">G52+I52</f>
        <v>1.2576</v>
      </c>
      <c r="L52" s="13" t="n">
        <v>0.51</v>
      </c>
      <c r="M52" s="11" t="n">
        <f aca="false">K52*(1+L52)</f>
        <v>1.898976</v>
      </c>
      <c r="N52" s="12" t="n">
        <v>1.76</v>
      </c>
      <c r="O52" s="11" t="n">
        <f aca="false">M52-N52</f>
        <v>0.138976</v>
      </c>
      <c r="P52" s="14" t="str">
        <f aca="false">IF(ISNUMBER(SEARCH("único",H52)),"Custo disponível de apenas 1 fornecedor para este tamanho — ver aba Inconsistências.","")</f>
        <v/>
      </c>
    </row>
    <row r="53" customFormat="false" ht="15" hidden="false" customHeight="false" outlineLevel="0" collapsed="false">
      <c r="A53" s="9" t="s">
        <v>10</v>
      </c>
      <c r="B53" s="10" t="s">
        <v>21</v>
      </c>
      <c r="C53" s="10" t="s">
        <v>65</v>
      </c>
      <c r="D53" s="10" t="n">
        <v>900</v>
      </c>
      <c r="E53" s="11" t="n">
        <f aca="false">IFERROR(_xlfn.MAXIFS('Custos Fornecedores'!$I$2:$I$55,'Custos Fornecedores'!$B$2:$B$55,$A53,'Custos Fornecedores'!$C$2:$C$55,$B53,'Custos Fornecedores'!$A$2:$A$55,"Marfel"),0)</f>
        <v>0.9576</v>
      </c>
      <c r="F53" s="11" t="n">
        <f aca="false">IFERROR(_xlfn.MAXIFS('Custos Fornecedores'!$I$2:$I$55,'Custos Fornecedores'!$B$2:$B$55,$A53,'Custos Fornecedores'!$C$2:$C$55,$B53,'Custos Fornecedores'!$A$2:$A$55,"Alquimia"),0)</f>
        <v>0.795</v>
      </c>
      <c r="G53" s="11" t="n">
        <f aca="false">IF(E53=0,F53,IF(F53=0,E53,MAX(E53,F53)))</f>
        <v>0.9576</v>
      </c>
      <c r="H53" s="10" t="str">
        <f aca="false">IF(AND(E53=0,F53=0),"SEM DADOS",IF(E53=0,"Alquimia (único)",IF(F53=0,"Marfel (único)",IF(E53&gt;=F53,"Marfel","Alquimia"))))</f>
        <v>Marfel</v>
      </c>
      <c r="I53" s="12" t="n">
        <v>0.3</v>
      </c>
      <c r="J53" s="11" t="n">
        <f aca="false">I53*D53</f>
        <v>270</v>
      </c>
      <c r="K53" s="11" t="n">
        <f aca="false">G53+I53</f>
        <v>1.2576</v>
      </c>
      <c r="L53" s="13" t="n">
        <v>0.48</v>
      </c>
      <c r="M53" s="11" t="n">
        <f aca="false">K53*(1+L53)</f>
        <v>1.861248</v>
      </c>
      <c r="N53" s="12" t="n">
        <v>1.73</v>
      </c>
      <c r="O53" s="11" t="n">
        <f aca="false">M53-N53</f>
        <v>0.131248</v>
      </c>
      <c r="P53" s="14" t="str">
        <f aca="false">IF(ISNUMBER(SEARCH("único",H53)),"Custo disponível de apenas 1 fornecedor para este tamanho — ver aba Inconsistências.","")</f>
        <v/>
      </c>
    </row>
    <row r="54" customFormat="false" ht="15" hidden="false" customHeight="false" outlineLevel="0" collapsed="false">
      <c r="A54" s="9" t="s">
        <v>10</v>
      </c>
      <c r="B54" s="10" t="s">
        <v>21</v>
      </c>
      <c r="C54" s="10" t="s">
        <v>66</v>
      </c>
      <c r="D54" s="10" t="n">
        <v>1000</v>
      </c>
      <c r="E54" s="11" t="n">
        <f aca="false">IFERROR(_xlfn.MAXIFS('Custos Fornecedores'!$I$2:$I$55,'Custos Fornecedores'!$B$2:$B$55,$A54,'Custos Fornecedores'!$C$2:$C$55,$B54,'Custos Fornecedores'!$A$2:$A$55,"Marfel"),0)</f>
        <v>0.9576</v>
      </c>
      <c r="F54" s="11" t="n">
        <f aca="false">IFERROR(_xlfn.MAXIFS('Custos Fornecedores'!$I$2:$I$55,'Custos Fornecedores'!$B$2:$B$55,$A54,'Custos Fornecedores'!$C$2:$C$55,$B54,'Custos Fornecedores'!$A$2:$A$55,"Alquimia"),0)</f>
        <v>0.795</v>
      </c>
      <c r="G54" s="11" t="n">
        <f aca="false">IF(E54=0,F54,IF(F54=0,E54,MAX(E54,F54)))</f>
        <v>0.9576</v>
      </c>
      <c r="H54" s="10" t="str">
        <f aca="false">IF(AND(E54=0,F54=0),"SEM DADOS",IF(E54=0,"Alquimia (único)",IF(F54=0,"Marfel (único)",IF(E54&gt;=F54,"Marfel","Alquimia"))))</f>
        <v>Marfel</v>
      </c>
      <c r="I54" s="12" t="n">
        <v>0.3</v>
      </c>
      <c r="J54" s="11" t="n">
        <f aca="false">I54*D54</f>
        <v>300</v>
      </c>
      <c r="K54" s="11" t="n">
        <f aca="false">G54+I54</f>
        <v>1.2576</v>
      </c>
      <c r="L54" s="13" t="n">
        <v>0.4</v>
      </c>
      <c r="M54" s="11" t="n">
        <f aca="false">K54*(1+L54)</f>
        <v>1.76064</v>
      </c>
      <c r="N54" s="12" t="n">
        <v>1.64</v>
      </c>
      <c r="O54" s="11" t="n">
        <f aca="false">M54-N54</f>
        <v>0.12064</v>
      </c>
      <c r="P54" s="14" t="str">
        <f aca="false">IF(ISNUMBER(SEARCH("único",H54)),"Custo disponível de apenas 1 fornecedor para este tamanho — ver aba Inconsistências.","")</f>
        <v/>
      </c>
    </row>
    <row r="55" customFormat="false" ht="15" hidden="false" customHeight="false" outlineLevel="0" collapsed="false">
      <c r="A55" s="9" t="s">
        <v>23</v>
      </c>
      <c r="B55" s="10" t="s">
        <v>24</v>
      </c>
      <c r="C55" s="10" t="s">
        <v>57</v>
      </c>
      <c r="D55" s="10" t="n">
        <v>100</v>
      </c>
      <c r="E55" s="11" t="n">
        <f aca="false">IFERROR(_xlfn.MAXIFS('Custos Fornecedores'!$I$2:$I$55,'Custos Fornecedores'!$B$2:$B$55,$A55,'Custos Fornecedores'!$C$2:$C$55,$B55,'Custos Fornecedores'!$A$2:$A$55,"Marfel"),0)</f>
        <v>0.8208</v>
      </c>
      <c r="F55" s="11" t="n">
        <f aca="false">IFERROR(_xlfn.MAXIFS('Custos Fornecedores'!$I$2:$I$55,'Custos Fornecedores'!$B$2:$B$55,$A55,'Custos Fornecedores'!$C$2:$C$55,$B55,'Custos Fornecedores'!$A$2:$A$55,"Alquimia"),0)</f>
        <v>0.5681</v>
      </c>
      <c r="G55" s="11" t="n">
        <f aca="false">IF(E55=0,F55,IF(F55=0,E55,MAX(E55,F55)))</f>
        <v>0.8208</v>
      </c>
      <c r="H55" s="10" t="str">
        <f aca="false">IF(AND(E55=0,F55=0),"SEM DADOS",IF(E55=0,"Alquimia (único)",IF(F55=0,"Marfel (único)",IF(E55&gt;=F55,"Marfel","Alquimia"))))</f>
        <v>Marfel</v>
      </c>
      <c r="I55" s="12" t="n">
        <v>0.3</v>
      </c>
      <c r="J55" s="11" t="n">
        <f aca="false">I55*D55</f>
        <v>30</v>
      </c>
      <c r="K55" s="11" t="n">
        <f aca="false">G55+I55</f>
        <v>1.1208</v>
      </c>
      <c r="L55" s="13" t="n">
        <v>1</v>
      </c>
      <c r="M55" s="11" t="n">
        <f aca="false">K55*(1+L55)</f>
        <v>2.2416</v>
      </c>
      <c r="N55" s="12" t="n">
        <v>2.07</v>
      </c>
      <c r="O55" s="11" t="n">
        <f aca="false">M55-N55</f>
        <v>0.1716</v>
      </c>
      <c r="P55" s="14" t="str">
        <f aca="false">IF(ISNUMBER(SEARCH("único",H55)),"Custo disponível de apenas 1 fornecedor para este tamanho — ver aba Inconsistências.","")</f>
        <v/>
      </c>
    </row>
    <row r="56" customFormat="false" ht="15" hidden="false" customHeight="false" outlineLevel="0" collapsed="false">
      <c r="A56" s="9" t="s">
        <v>23</v>
      </c>
      <c r="B56" s="10" t="s">
        <v>24</v>
      </c>
      <c r="C56" s="10" t="s">
        <v>58</v>
      </c>
      <c r="D56" s="10" t="n">
        <v>200</v>
      </c>
      <c r="E56" s="11" t="n">
        <f aca="false">IFERROR(_xlfn.MAXIFS('Custos Fornecedores'!$I$2:$I$55,'Custos Fornecedores'!$B$2:$B$55,$A56,'Custos Fornecedores'!$C$2:$C$55,$B56,'Custos Fornecedores'!$A$2:$A$55,"Marfel"),0)</f>
        <v>0.8208</v>
      </c>
      <c r="F56" s="11" t="n">
        <f aca="false">IFERROR(_xlfn.MAXIFS('Custos Fornecedores'!$I$2:$I$55,'Custos Fornecedores'!$B$2:$B$55,$A56,'Custos Fornecedores'!$C$2:$C$55,$B56,'Custos Fornecedores'!$A$2:$A$55,"Alquimia"),0)</f>
        <v>0.5681</v>
      </c>
      <c r="G56" s="11" t="n">
        <f aca="false">IF(E56=0,F56,IF(F56=0,E56,MAX(E56,F56)))</f>
        <v>0.8208</v>
      </c>
      <c r="H56" s="10" t="str">
        <f aca="false">IF(AND(E56=0,F56=0),"SEM DADOS",IF(E56=0,"Alquimia (único)",IF(F56=0,"Marfel (único)",IF(E56&gt;=F56,"Marfel","Alquimia"))))</f>
        <v>Marfel</v>
      </c>
      <c r="I56" s="12" t="n">
        <v>0.3</v>
      </c>
      <c r="J56" s="11" t="n">
        <f aca="false">I56*D56</f>
        <v>60</v>
      </c>
      <c r="K56" s="11" t="n">
        <f aca="false">G56+I56</f>
        <v>1.1208</v>
      </c>
      <c r="L56" s="13" t="n">
        <v>0.75</v>
      </c>
      <c r="M56" s="11" t="n">
        <f aca="false">K56*(1+L56)</f>
        <v>1.9614</v>
      </c>
      <c r="N56" s="12" t="n">
        <v>1.81</v>
      </c>
      <c r="O56" s="11" t="n">
        <f aca="false">M56-N56</f>
        <v>0.1514</v>
      </c>
      <c r="P56" s="14" t="str">
        <f aca="false">IF(ISNUMBER(SEARCH("único",H56)),"Custo disponível de apenas 1 fornecedor para este tamanho — ver aba Inconsistências.","")</f>
        <v/>
      </c>
    </row>
    <row r="57" customFormat="false" ht="15" hidden="false" customHeight="false" outlineLevel="0" collapsed="false">
      <c r="A57" s="9" t="s">
        <v>23</v>
      </c>
      <c r="B57" s="10" t="s">
        <v>24</v>
      </c>
      <c r="C57" s="10" t="s">
        <v>59</v>
      </c>
      <c r="D57" s="10" t="n">
        <v>300</v>
      </c>
      <c r="E57" s="11" t="n">
        <f aca="false">IFERROR(_xlfn.MAXIFS('Custos Fornecedores'!$I$2:$I$55,'Custos Fornecedores'!$B$2:$B$55,$A57,'Custos Fornecedores'!$C$2:$C$55,$B57,'Custos Fornecedores'!$A$2:$A$55,"Marfel"),0)</f>
        <v>0.8208</v>
      </c>
      <c r="F57" s="11" t="n">
        <f aca="false">IFERROR(_xlfn.MAXIFS('Custos Fornecedores'!$I$2:$I$55,'Custos Fornecedores'!$B$2:$B$55,$A57,'Custos Fornecedores'!$C$2:$C$55,$B57,'Custos Fornecedores'!$A$2:$A$55,"Alquimia"),0)</f>
        <v>0.5681</v>
      </c>
      <c r="G57" s="11" t="n">
        <f aca="false">IF(E57=0,F57,IF(F57=0,E57,MAX(E57,F57)))</f>
        <v>0.8208</v>
      </c>
      <c r="H57" s="10" t="str">
        <f aca="false">IF(AND(E57=0,F57=0),"SEM DADOS",IF(E57=0,"Alquimia (único)",IF(F57=0,"Marfel (único)",IF(E57&gt;=F57,"Marfel","Alquimia"))))</f>
        <v>Marfel</v>
      </c>
      <c r="I57" s="12" t="n">
        <v>0.3</v>
      </c>
      <c r="J57" s="11" t="n">
        <f aca="false">I57*D57</f>
        <v>90</v>
      </c>
      <c r="K57" s="11" t="n">
        <f aca="false">G57+I57</f>
        <v>1.1208</v>
      </c>
      <c r="L57" s="13" t="n">
        <v>0.7</v>
      </c>
      <c r="M57" s="11" t="n">
        <f aca="false">K57*(1+L57)</f>
        <v>1.90536</v>
      </c>
      <c r="N57" s="12" t="n">
        <v>1.76</v>
      </c>
      <c r="O57" s="11" t="n">
        <f aca="false">M57-N57</f>
        <v>0.14536</v>
      </c>
      <c r="P57" s="14" t="str">
        <f aca="false">IF(ISNUMBER(SEARCH("único",H57)),"Custo disponível de apenas 1 fornecedor para este tamanho — ver aba Inconsistências.","")</f>
        <v/>
      </c>
    </row>
    <row r="58" customFormat="false" ht="15" hidden="false" customHeight="false" outlineLevel="0" collapsed="false">
      <c r="A58" s="9" t="s">
        <v>23</v>
      </c>
      <c r="B58" s="10" t="s">
        <v>24</v>
      </c>
      <c r="C58" s="10" t="s">
        <v>60</v>
      </c>
      <c r="D58" s="10" t="n">
        <v>400</v>
      </c>
      <c r="E58" s="11" t="n">
        <f aca="false">IFERROR(_xlfn.MAXIFS('Custos Fornecedores'!$I$2:$I$55,'Custos Fornecedores'!$B$2:$B$55,$A58,'Custos Fornecedores'!$C$2:$C$55,$B58,'Custos Fornecedores'!$A$2:$A$55,"Marfel"),0)</f>
        <v>0.8208</v>
      </c>
      <c r="F58" s="11" t="n">
        <f aca="false">IFERROR(_xlfn.MAXIFS('Custos Fornecedores'!$I$2:$I$55,'Custos Fornecedores'!$B$2:$B$55,$A58,'Custos Fornecedores'!$C$2:$C$55,$B58,'Custos Fornecedores'!$A$2:$A$55,"Alquimia"),0)</f>
        <v>0.5681</v>
      </c>
      <c r="G58" s="11" t="n">
        <f aca="false">IF(E58=0,F58,IF(F58=0,E58,MAX(E58,F58)))</f>
        <v>0.8208</v>
      </c>
      <c r="H58" s="10" t="str">
        <f aca="false">IF(AND(E58=0,F58=0),"SEM DADOS",IF(E58=0,"Alquimia (único)",IF(F58=0,"Marfel (único)",IF(E58&gt;=F58,"Marfel","Alquimia"))))</f>
        <v>Marfel</v>
      </c>
      <c r="I58" s="12" t="n">
        <v>0.3</v>
      </c>
      <c r="J58" s="11" t="n">
        <f aca="false">I58*D58</f>
        <v>120</v>
      </c>
      <c r="K58" s="11" t="n">
        <f aca="false">G58+I58</f>
        <v>1.1208</v>
      </c>
      <c r="L58" s="13" t="n">
        <v>0.65</v>
      </c>
      <c r="M58" s="11" t="n">
        <f aca="false">K58*(1+L58)</f>
        <v>1.84932</v>
      </c>
      <c r="N58" s="12" t="n">
        <v>1.71</v>
      </c>
      <c r="O58" s="11" t="n">
        <f aca="false">M58-N58</f>
        <v>0.13932</v>
      </c>
      <c r="P58" s="14" t="str">
        <f aca="false">IF(ISNUMBER(SEARCH("único",H58)),"Custo disponível de apenas 1 fornecedor para este tamanho — ver aba Inconsistências.","")</f>
        <v/>
      </c>
    </row>
    <row r="59" customFormat="false" ht="15" hidden="false" customHeight="false" outlineLevel="0" collapsed="false">
      <c r="A59" s="9" t="s">
        <v>23</v>
      </c>
      <c r="B59" s="10" t="s">
        <v>24</v>
      </c>
      <c r="C59" s="10" t="s">
        <v>61</v>
      </c>
      <c r="D59" s="10" t="n">
        <v>500</v>
      </c>
      <c r="E59" s="11" t="n">
        <f aca="false">IFERROR(_xlfn.MAXIFS('Custos Fornecedores'!$I$2:$I$55,'Custos Fornecedores'!$B$2:$B$55,$A59,'Custos Fornecedores'!$C$2:$C$55,$B59,'Custos Fornecedores'!$A$2:$A$55,"Marfel"),0)</f>
        <v>0.8208</v>
      </c>
      <c r="F59" s="11" t="n">
        <f aca="false">IFERROR(_xlfn.MAXIFS('Custos Fornecedores'!$I$2:$I$55,'Custos Fornecedores'!$B$2:$B$55,$A59,'Custos Fornecedores'!$C$2:$C$55,$B59,'Custos Fornecedores'!$A$2:$A$55,"Alquimia"),0)</f>
        <v>0.5681</v>
      </c>
      <c r="G59" s="11" t="n">
        <f aca="false">IF(E59=0,F59,IF(F59=0,E59,MAX(E59,F59)))</f>
        <v>0.8208</v>
      </c>
      <c r="H59" s="10" t="str">
        <f aca="false">IF(AND(E59=0,F59=0),"SEM DADOS",IF(E59=0,"Alquimia (único)",IF(F59=0,"Marfel (único)",IF(E59&gt;=F59,"Marfel","Alquimia"))))</f>
        <v>Marfel</v>
      </c>
      <c r="I59" s="12" t="n">
        <v>0.3</v>
      </c>
      <c r="J59" s="11" t="n">
        <f aca="false">I59*D59</f>
        <v>150</v>
      </c>
      <c r="K59" s="11" t="n">
        <f aca="false">G59+I59</f>
        <v>1.1208</v>
      </c>
      <c r="L59" s="13" t="n">
        <v>0.6</v>
      </c>
      <c r="M59" s="11" t="n">
        <f aca="false">K59*(1+L59)</f>
        <v>1.79328</v>
      </c>
      <c r="N59" s="12" t="n">
        <v>1.66</v>
      </c>
      <c r="O59" s="11" t="n">
        <f aca="false">M59-N59</f>
        <v>0.13328</v>
      </c>
      <c r="P59" s="14" t="str">
        <f aca="false">IF(ISNUMBER(SEARCH("único",H59)),"Custo disponível de apenas 1 fornecedor para este tamanho — ver aba Inconsistências.","")</f>
        <v/>
      </c>
    </row>
    <row r="60" customFormat="false" ht="15" hidden="false" customHeight="false" outlineLevel="0" collapsed="false">
      <c r="A60" s="9" t="s">
        <v>23</v>
      </c>
      <c r="B60" s="10" t="s">
        <v>24</v>
      </c>
      <c r="C60" s="10" t="s">
        <v>62</v>
      </c>
      <c r="D60" s="10" t="n">
        <v>600</v>
      </c>
      <c r="E60" s="11" t="n">
        <f aca="false">IFERROR(_xlfn.MAXIFS('Custos Fornecedores'!$I$2:$I$55,'Custos Fornecedores'!$B$2:$B$55,$A60,'Custos Fornecedores'!$C$2:$C$55,$B60,'Custos Fornecedores'!$A$2:$A$55,"Marfel"),0)</f>
        <v>0.8208</v>
      </c>
      <c r="F60" s="11" t="n">
        <f aca="false">IFERROR(_xlfn.MAXIFS('Custos Fornecedores'!$I$2:$I$55,'Custos Fornecedores'!$B$2:$B$55,$A60,'Custos Fornecedores'!$C$2:$C$55,$B60,'Custos Fornecedores'!$A$2:$A$55,"Alquimia"),0)</f>
        <v>0.5681</v>
      </c>
      <c r="G60" s="11" t="n">
        <f aca="false">IF(E60=0,F60,IF(F60=0,E60,MAX(E60,F60)))</f>
        <v>0.8208</v>
      </c>
      <c r="H60" s="10" t="str">
        <f aca="false">IF(AND(E60=0,F60=0),"SEM DADOS",IF(E60=0,"Alquimia (único)",IF(F60=0,"Marfel (único)",IF(E60&gt;=F60,"Marfel","Alquimia"))))</f>
        <v>Marfel</v>
      </c>
      <c r="I60" s="12" t="n">
        <v>0.3</v>
      </c>
      <c r="J60" s="11" t="n">
        <f aca="false">I60*D60</f>
        <v>180</v>
      </c>
      <c r="K60" s="11" t="n">
        <f aca="false">G60+I60</f>
        <v>1.1208</v>
      </c>
      <c r="L60" s="13" t="n">
        <v>0.57</v>
      </c>
      <c r="M60" s="11" t="n">
        <f aca="false">K60*(1+L60)</f>
        <v>1.759656</v>
      </c>
      <c r="N60" s="12" t="n">
        <v>1.63</v>
      </c>
      <c r="O60" s="11" t="n">
        <f aca="false">M60-N60</f>
        <v>0.129656</v>
      </c>
      <c r="P60" s="14" t="str">
        <f aca="false">IF(ISNUMBER(SEARCH("único",H60)),"Custo disponível de apenas 1 fornecedor para este tamanho — ver aba Inconsistências.","")</f>
        <v/>
      </c>
    </row>
    <row r="61" customFormat="false" ht="15" hidden="false" customHeight="false" outlineLevel="0" collapsed="false">
      <c r="A61" s="9" t="s">
        <v>23</v>
      </c>
      <c r="B61" s="10" t="s">
        <v>24</v>
      </c>
      <c r="C61" s="10" t="s">
        <v>63</v>
      </c>
      <c r="D61" s="10" t="n">
        <v>700</v>
      </c>
      <c r="E61" s="11" t="n">
        <f aca="false">IFERROR(_xlfn.MAXIFS('Custos Fornecedores'!$I$2:$I$55,'Custos Fornecedores'!$B$2:$B$55,$A61,'Custos Fornecedores'!$C$2:$C$55,$B61,'Custos Fornecedores'!$A$2:$A$55,"Marfel"),0)</f>
        <v>0.8208</v>
      </c>
      <c r="F61" s="11" t="n">
        <f aca="false">IFERROR(_xlfn.MAXIFS('Custos Fornecedores'!$I$2:$I$55,'Custos Fornecedores'!$B$2:$B$55,$A61,'Custos Fornecedores'!$C$2:$C$55,$B61,'Custos Fornecedores'!$A$2:$A$55,"Alquimia"),0)</f>
        <v>0.5681</v>
      </c>
      <c r="G61" s="11" t="n">
        <f aca="false">IF(E61=0,F61,IF(F61=0,E61,MAX(E61,F61)))</f>
        <v>0.8208</v>
      </c>
      <c r="H61" s="10" t="str">
        <f aca="false">IF(AND(E61=0,F61=0),"SEM DADOS",IF(E61=0,"Alquimia (único)",IF(F61=0,"Marfel (único)",IF(E61&gt;=F61,"Marfel","Alquimia"))))</f>
        <v>Marfel</v>
      </c>
      <c r="I61" s="12" t="n">
        <v>0.3</v>
      </c>
      <c r="J61" s="11" t="n">
        <f aca="false">I61*D61</f>
        <v>210</v>
      </c>
      <c r="K61" s="11" t="n">
        <f aca="false">G61+I61</f>
        <v>1.1208</v>
      </c>
      <c r="L61" s="13" t="n">
        <v>0.54</v>
      </c>
      <c r="M61" s="11" t="n">
        <f aca="false">K61*(1+L61)</f>
        <v>1.726032</v>
      </c>
      <c r="N61" s="12" t="n">
        <v>1.59</v>
      </c>
      <c r="O61" s="11" t="n">
        <f aca="false">M61-N61</f>
        <v>0.136032</v>
      </c>
      <c r="P61" s="14" t="str">
        <f aca="false">IF(ISNUMBER(SEARCH("único",H61)),"Custo disponível de apenas 1 fornecedor para este tamanho — ver aba Inconsistências.","")</f>
        <v/>
      </c>
    </row>
    <row r="62" customFormat="false" ht="15" hidden="false" customHeight="false" outlineLevel="0" collapsed="false">
      <c r="A62" s="9" t="s">
        <v>23</v>
      </c>
      <c r="B62" s="10" t="s">
        <v>24</v>
      </c>
      <c r="C62" s="10" t="s">
        <v>64</v>
      </c>
      <c r="D62" s="10" t="n">
        <v>800</v>
      </c>
      <c r="E62" s="11" t="n">
        <f aca="false">IFERROR(_xlfn.MAXIFS('Custos Fornecedores'!$I$2:$I$55,'Custos Fornecedores'!$B$2:$B$55,$A62,'Custos Fornecedores'!$C$2:$C$55,$B62,'Custos Fornecedores'!$A$2:$A$55,"Marfel"),0)</f>
        <v>0.8208</v>
      </c>
      <c r="F62" s="11" t="n">
        <f aca="false">IFERROR(_xlfn.MAXIFS('Custos Fornecedores'!$I$2:$I$55,'Custos Fornecedores'!$B$2:$B$55,$A62,'Custos Fornecedores'!$C$2:$C$55,$B62,'Custos Fornecedores'!$A$2:$A$55,"Alquimia"),0)</f>
        <v>0.5681</v>
      </c>
      <c r="G62" s="11" t="n">
        <f aca="false">IF(E62=0,F62,IF(F62=0,E62,MAX(E62,F62)))</f>
        <v>0.8208</v>
      </c>
      <c r="H62" s="10" t="str">
        <f aca="false">IF(AND(E62=0,F62=0),"SEM DADOS",IF(E62=0,"Alquimia (único)",IF(F62=0,"Marfel (único)",IF(E62&gt;=F62,"Marfel","Alquimia"))))</f>
        <v>Marfel</v>
      </c>
      <c r="I62" s="12" t="n">
        <v>0.3</v>
      </c>
      <c r="J62" s="11" t="n">
        <f aca="false">I62*D62</f>
        <v>240</v>
      </c>
      <c r="K62" s="11" t="n">
        <f aca="false">G62+I62</f>
        <v>1.1208</v>
      </c>
      <c r="L62" s="13" t="n">
        <v>0.51</v>
      </c>
      <c r="M62" s="11" t="n">
        <f aca="false">K62*(1+L62)</f>
        <v>1.692408</v>
      </c>
      <c r="N62" s="12" t="n">
        <v>1.56</v>
      </c>
      <c r="O62" s="11" t="n">
        <f aca="false">M62-N62</f>
        <v>0.132408</v>
      </c>
      <c r="P62" s="14" t="str">
        <f aca="false">IF(ISNUMBER(SEARCH("único",H62)),"Custo disponível de apenas 1 fornecedor para este tamanho — ver aba Inconsistências.","")</f>
        <v/>
      </c>
    </row>
    <row r="63" customFormat="false" ht="15" hidden="false" customHeight="false" outlineLevel="0" collapsed="false">
      <c r="A63" s="9" t="s">
        <v>23</v>
      </c>
      <c r="B63" s="10" t="s">
        <v>24</v>
      </c>
      <c r="C63" s="10" t="s">
        <v>65</v>
      </c>
      <c r="D63" s="10" t="n">
        <v>900</v>
      </c>
      <c r="E63" s="11" t="n">
        <f aca="false">IFERROR(_xlfn.MAXIFS('Custos Fornecedores'!$I$2:$I$55,'Custos Fornecedores'!$B$2:$B$55,$A63,'Custos Fornecedores'!$C$2:$C$55,$B63,'Custos Fornecedores'!$A$2:$A$55,"Marfel"),0)</f>
        <v>0.8208</v>
      </c>
      <c r="F63" s="11" t="n">
        <f aca="false">IFERROR(_xlfn.MAXIFS('Custos Fornecedores'!$I$2:$I$55,'Custos Fornecedores'!$B$2:$B$55,$A63,'Custos Fornecedores'!$C$2:$C$55,$B63,'Custos Fornecedores'!$A$2:$A$55,"Alquimia"),0)</f>
        <v>0.5681</v>
      </c>
      <c r="G63" s="11" t="n">
        <f aca="false">IF(E63=0,F63,IF(F63=0,E63,MAX(E63,F63)))</f>
        <v>0.8208</v>
      </c>
      <c r="H63" s="10" t="str">
        <f aca="false">IF(AND(E63=0,F63=0),"SEM DADOS",IF(E63=0,"Alquimia (único)",IF(F63=0,"Marfel (único)",IF(E63&gt;=F63,"Marfel","Alquimia"))))</f>
        <v>Marfel</v>
      </c>
      <c r="I63" s="12" t="n">
        <v>0.3</v>
      </c>
      <c r="J63" s="11" t="n">
        <f aca="false">I63*D63</f>
        <v>270</v>
      </c>
      <c r="K63" s="11" t="n">
        <f aca="false">G63+I63</f>
        <v>1.1208</v>
      </c>
      <c r="L63" s="13" t="n">
        <v>0.48</v>
      </c>
      <c r="M63" s="11" t="n">
        <f aca="false">K63*(1+L63)</f>
        <v>1.658784</v>
      </c>
      <c r="N63" s="12" t="n">
        <v>1.53</v>
      </c>
      <c r="O63" s="11" t="n">
        <f aca="false">M63-N63</f>
        <v>0.128784</v>
      </c>
      <c r="P63" s="14" t="str">
        <f aca="false">IF(ISNUMBER(SEARCH("único",H63)),"Custo disponível de apenas 1 fornecedor para este tamanho — ver aba Inconsistências.","")</f>
        <v/>
      </c>
    </row>
    <row r="64" customFormat="false" ht="15" hidden="false" customHeight="false" outlineLevel="0" collapsed="false">
      <c r="A64" s="9" t="s">
        <v>23</v>
      </c>
      <c r="B64" s="10" t="s">
        <v>24</v>
      </c>
      <c r="C64" s="10" t="s">
        <v>66</v>
      </c>
      <c r="D64" s="10" t="n">
        <v>1000</v>
      </c>
      <c r="E64" s="11" t="n">
        <f aca="false">IFERROR(_xlfn.MAXIFS('Custos Fornecedores'!$I$2:$I$55,'Custos Fornecedores'!$B$2:$B$55,$A64,'Custos Fornecedores'!$C$2:$C$55,$B64,'Custos Fornecedores'!$A$2:$A$55,"Marfel"),0)</f>
        <v>0.8208</v>
      </c>
      <c r="F64" s="11" t="n">
        <f aca="false">IFERROR(_xlfn.MAXIFS('Custos Fornecedores'!$I$2:$I$55,'Custos Fornecedores'!$B$2:$B$55,$A64,'Custos Fornecedores'!$C$2:$C$55,$B64,'Custos Fornecedores'!$A$2:$A$55,"Alquimia"),0)</f>
        <v>0.5681</v>
      </c>
      <c r="G64" s="11" t="n">
        <f aca="false">IF(E64=0,F64,IF(F64=0,E64,MAX(E64,F64)))</f>
        <v>0.8208</v>
      </c>
      <c r="H64" s="10" t="str">
        <f aca="false">IF(AND(E64=0,F64=0),"SEM DADOS",IF(E64=0,"Alquimia (único)",IF(F64=0,"Marfel (único)",IF(E64&gt;=F64,"Marfel","Alquimia"))))</f>
        <v>Marfel</v>
      </c>
      <c r="I64" s="12" t="n">
        <v>0.3</v>
      </c>
      <c r="J64" s="11" t="n">
        <f aca="false">I64*D64</f>
        <v>300</v>
      </c>
      <c r="K64" s="11" t="n">
        <f aca="false">G64+I64</f>
        <v>1.1208</v>
      </c>
      <c r="L64" s="13" t="n">
        <v>0.4</v>
      </c>
      <c r="M64" s="11" t="n">
        <f aca="false">K64*(1+L64)</f>
        <v>1.56912</v>
      </c>
      <c r="N64" s="12" t="n">
        <v>1.45</v>
      </c>
      <c r="O64" s="11" t="n">
        <f aca="false">M64-N64</f>
        <v>0.11912</v>
      </c>
      <c r="P64" s="14" t="str">
        <f aca="false">IF(ISNUMBER(SEARCH("único",H64)),"Custo disponível de apenas 1 fornecedor para este tamanho — ver aba Inconsistências.","")</f>
        <v/>
      </c>
    </row>
    <row r="65" customFormat="false" ht="15" hidden="false" customHeight="false" outlineLevel="0" collapsed="false">
      <c r="A65" s="9" t="s">
        <v>23</v>
      </c>
      <c r="B65" s="10" t="s">
        <v>28</v>
      </c>
      <c r="C65" s="10" t="s">
        <v>57</v>
      </c>
      <c r="D65" s="10" t="n">
        <v>100</v>
      </c>
      <c r="E65" s="11" t="n">
        <f aca="false">IFERROR(_xlfn.MAXIFS('Custos Fornecedores'!$I$2:$I$55,'Custos Fornecedores'!$B$2:$B$55,$A65,'Custos Fornecedores'!$C$2:$C$55,$B65,'Custos Fornecedores'!$A$2:$A$55,"Marfel"),0)</f>
        <v>1.04544</v>
      </c>
      <c r="F65" s="11" t="n">
        <f aca="false">IFERROR(_xlfn.MAXIFS('Custos Fornecedores'!$I$2:$I$55,'Custos Fornecedores'!$B$2:$B$55,$A65,'Custos Fornecedores'!$C$2:$C$55,$B65,'Custos Fornecedores'!$A$2:$A$55,"Alquimia"),0)</f>
        <v>0.6877</v>
      </c>
      <c r="G65" s="11" t="n">
        <f aca="false">IF(E65=0,F65,IF(F65=0,E65,MAX(E65,F65)))</f>
        <v>1.04544</v>
      </c>
      <c r="H65" s="10" t="str">
        <f aca="false">IF(AND(E65=0,F65=0),"SEM DADOS",IF(E65=0,"Alquimia (único)",IF(F65=0,"Marfel (único)",IF(E65&gt;=F65,"Marfel","Alquimia"))))</f>
        <v>Marfel</v>
      </c>
      <c r="I65" s="12" t="n">
        <v>0.3</v>
      </c>
      <c r="J65" s="11" t="n">
        <f aca="false">I65*D65</f>
        <v>30</v>
      </c>
      <c r="K65" s="11" t="n">
        <f aca="false">G65+I65</f>
        <v>1.34544</v>
      </c>
      <c r="L65" s="13" t="n">
        <v>1</v>
      </c>
      <c r="M65" s="11" t="n">
        <f aca="false">K65*(1+L65)</f>
        <v>2.69088</v>
      </c>
      <c r="N65" s="12" t="n">
        <v>2.47</v>
      </c>
      <c r="O65" s="11" t="n">
        <f aca="false">M65-N65</f>
        <v>0.22088</v>
      </c>
      <c r="P65" s="14" t="str">
        <f aca="false">IF(ISNUMBER(SEARCH("único",H65)),"Custo disponível de apenas 1 fornecedor para este tamanho — ver aba Inconsistências.","")</f>
        <v/>
      </c>
    </row>
    <row r="66" customFormat="false" ht="15" hidden="false" customHeight="false" outlineLevel="0" collapsed="false">
      <c r="A66" s="9" t="s">
        <v>23</v>
      </c>
      <c r="B66" s="10" t="s">
        <v>28</v>
      </c>
      <c r="C66" s="10" t="s">
        <v>58</v>
      </c>
      <c r="D66" s="10" t="n">
        <v>200</v>
      </c>
      <c r="E66" s="11" t="n">
        <f aca="false">IFERROR(_xlfn.MAXIFS('Custos Fornecedores'!$I$2:$I$55,'Custos Fornecedores'!$B$2:$B$55,$A66,'Custos Fornecedores'!$C$2:$C$55,$B66,'Custos Fornecedores'!$A$2:$A$55,"Marfel"),0)</f>
        <v>1.04544</v>
      </c>
      <c r="F66" s="11" t="n">
        <f aca="false">IFERROR(_xlfn.MAXIFS('Custos Fornecedores'!$I$2:$I$55,'Custos Fornecedores'!$B$2:$B$55,$A66,'Custos Fornecedores'!$C$2:$C$55,$B66,'Custos Fornecedores'!$A$2:$A$55,"Alquimia"),0)</f>
        <v>0.6877</v>
      </c>
      <c r="G66" s="11" t="n">
        <f aca="false">IF(E66=0,F66,IF(F66=0,E66,MAX(E66,F66)))</f>
        <v>1.04544</v>
      </c>
      <c r="H66" s="10" t="str">
        <f aca="false">IF(AND(E66=0,F66=0),"SEM DADOS",IF(E66=0,"Alquimia (único)",IF(F66=0,"Marfel (único)",IF(E66&gt;=F66,"Marfel","Alquimia"))))</f>
        <v>Marfel</v>
      </c>
      <c r="I66" s="12" t="n">
        <v>0.3</v>
      </c>
      <c r="J66" s="11" t="n">
        <f aca="false">I66*D66</f>
        <v>60</v>
      </c>
      <c r="K66" s="11" t="n">
        <f aca="false">G66+I66</f>
        <v>1.34544</v>
      </c>
      <c r="L66" s="13" t="n">
        <v>0.75</v>
      </c>
      <c r="M66" s="11" t="n">
        <f aca="false">K66*(1+L66)</f>
        <v>2.35452</v>
      </c>
      <c r="N66" s="12" t="n">
        <v>2.16</v>
      </c>
      <c r="O66" s="11" t="n">
        <f aca="false">M66-N66</f>
        <v>0.19452</v>
      </c>
      <c r="P66" s="14" t="str">
        <f aca="false">IF(ISNUMBER(SEARCH("único",H66)),"Custo disponível de apenas 1 fornecedor para este tamanho — ver aba Inconsistências.","")</f>
        <v/>
      </c>
    </row>
    <row r="67" customFormat="false" ht="15" hidden="false" customHeight="false" outlineLevel="0" collapsed="false">
      <c r="A67" s="9" t="s">
        <v>23</v>
      </c>
      <c r="B67" s="10" t="s">
        <v>28</v>
      </c>
      <c r="C67" s="10" t="s">
        <v>59</v>
      </c>
      <c r="D67" s="10" t="n">
        <v>300</v>
      </c>
      <c r="E67" s="11" t="n">
        <f aca="false">IFERROR(_xlfn.MAXIFS('Custos Fornecedores'!$I$2:$I$55,'Custos Fornecedores'!$B$2:$B$55,$A67,'Custos Fornecedores'!$C$2:$C$55,$B67,'Custos Fornecedores'!$A$2:$A$55,"Marfel"),0)</f>
        <v>1.04544</v>
      </c>
      <c r="F67" s="11" t="n">
        <f aca="false">IFERROR(_xlfn.MAXIFS('Custos Fornecedores'!$I$2:$I$55,'Custos Fornecedores'!$B$2:$B$55,$A67,'Custos Fornecedores'!$C$2:$C$55,$B67,'Custos Fornecedores'!$A$2:$A$55,"Alquimia"),0)</f>
        <v>0.6877</v>
      </c>
      <c r="G67" s="11" t="n">
        <f aca="false">IF(E67=0,F67,IF(F67=0,E67,MAX(E67,F67)))</f>
        <v>1.04544</v>
      </c>
      <c r="H67" s="10" t="str">
        <f aca="false">IF(AND(E67=0,F67=0),"SEM DADOS",IF(E67=0,"Alquimia (único)",IF(F67=0,"Marfel (único)",IF(E67&gt;=F67,"Marfel","Alquimia"))))</f>
        <v>Marfel</v>
      </c>
      <c r="I67" s="12" t="n">
        <v>0.3</v>
      </c>
      <c r="J67" s="11" t="n">
        <f aca="false">I67*D67</f>
        <v>90</v>
      </c>
      <c r="K67" s="11" t="n">
        <f aca="false">G67+I67</f>
        <v>1.34544</v>
      </c>
      <c r="L67" s="13" t="n">
        <v>0.7</v>
      </c>
      <c r="M67" s="11" t="n">
        <f aca="false">K67*(1+L67)</f>
        <v>2.287248</v>
      </c>
      <c r="N67" s="12" t="n">
        <v>2.1</v>
      </c>
      <c r="O67" s="11" t="n">
        <f aca="false">M67-N67</f>
        <v>0.187248</v>
      </c>
      <c r="P67" s="14" t="str">
        <f aca="false">IF(ISNUMBER(SEARCH("único",H67)),"Custo disponível de apenas 1 fornecedor para este tamanho — ver aba Inconsistências.","")</f>
        <v/>
      </c>
    </row>
    <row r="68" customFormat="false" ht="15" hidden="false" customHeight="false" outlineLevel="0" collapsed="false">
      <c r="A68" s="9" t="s">
        <v>23</v>
      </c>
      <c r="B68" s="10" t="s">
        <v>28</v>
      </c>
      <c r="C68" s="10" t="s">
        <v>60</v>
      </c>
      <c r="D68" s="10" t="n">
        <v>400</v>
      </c>
      <c r="E68" s="11" t="n">
        <f aca="false">IFERROR(_xlfn.MAXIFS('Custos Fornecedores'!$I$2:$I$55,'Custos Fornecedores'!$B$2:$B$55,$A68,'Custos Fornecedores'!$C$2:$C$55,$B68,'Custos Fornecedores'!$A$2:$A$55,"Marfel"),0)</f>
        <v>1.04544</v>
      </c>
      <c r="F68" s="11" t="n">
        <f aca="false">IFERROR(_xlfn.MAXIFS('Custos Fornecedores'!$I$2:$I$55,'Custos Fornecedores'!$B$2:$B$55,$A68,'Custos Fornecedores'!$C$2:$C$55,$B68,'Custos Fornecedores'!$A$2:$A$55,"Alquimia"),0)</f>
        <v>0.6877</v>
      </c>
      <c r="G68" s="11" t="n">
        <f aca="false">IF(E68=0,F68,IF(F68=0,E68,MAX(E68,F68)))</f>
        <v>1.04544</v>
      </c>
      <c r="H68" s="10" t="str">
        <f aca="false">IF(AND(E68=0,F68=0),"SEM DADOS",IF(E68=0,"Alquimia (único)",IF(F68=0,"Marfel (único)",IF(E68&gt;=F68,"Marfel","Alquimia"))))</f>
        <v>Marfel</v>
      </c>
      <c r="I68" s="12" t="n">
        <v>0.3</v>
      </c>
      <c r="J68" s="11" t="n">
        <f aca="false">I68*D68</f>
        <v>120</v>
      </c>
      <c r="K68" s="11" t="n">
        <f aca="false">G68+I68</f>
        <v>1.34544</v>
      </c>
      <c r="L68" s="13" t="n">
        <v>0.65</v>
      </c>
      <c r="M68" s="11" t="n">
        <f aca="false">K68*(1+L68)</f>
        <v>2.219976</v>
      </c>
      <c r="N68" s="12" t="n">
        <v>2.04</v>
      </c>
      <c r="O68" s="11" t="n">
        <f aca="false">M68-N68</f>
        <v>0.179976</v>
      </c>
      <c r="P68" s="14" t="str">
        <f aca="false">IF(ISNUMBER(SEARCH("único",H68)),"Custo disponível de apenas 1 fornecedor para este tamanho — ver aba Inconsistências.","")</f>
        <v/>
      </c>
    </row>
    <row r="69" customFormat="false" ht="15" hidden="false" customHeight="false" outlineLevel="0" collapsed="false">
      <c r="A69" s="9" t="s">
        <v>23</v>
      </c>
      <c r="B69" s="10" t="s">
        <v>28</v>
      </c>
      <c r="C69" s="10" t="s">
        <v>61</v>
      </c>
      <c r="D69" s="10" t="n">
        <v>500</v>
      </c>
      <c r="E69" s="11" t="n">
        <f aca="false">IFERROR(_xlfn.MAXIFS('Custos Fornecedores'!$I$2:$I$55,'Custos Fornecedores'!$B$2:$B$55,$A69,'Custos Fornecedores'!$C$2:$C$55,$B69,'Custos Fornecedores'!$A$2:$A$55,"Marfel"),0)</f>
        <v>1.04544</v>
      </c>
      <c r="F69" s="11" t="n">
        <f aca="false">IFERROR(_xlfn.MAXIFS('Custos Fornecedores'!$I$2:$I$55,'Custos Fornecedores'!$B$2:$B$55,$A69,'Custos Fornecedores'!$C$2:$C$55,$B69,'Custos Fornecedores'!$A$2:$A$55,"Alquimia"),0)</f>
        <v>0.6877</v>
      </c>
      <c r="G69" s="11" t="n">
        <f aca="false">IF(E69=0,F69,IF(F69=0,E69,MAX(E69,F69)))</f>
        <v>1.04544</v>
      </c>
      <c r="H69" s="10" t="str">
        <f aca="false">IF(AND(E69=0,F69=0),"SEM DADOS",IF(E69=0,"Alquimia (único)",IF(F69=0,"Marfel (único)",IF(E69&gt;=F69,"Marfel","Alquimia"))))</f>
        <v>Marfel</v>
      </c>
      <c r="I69" s="12" t="n">
        <v>0.3</v>
      </c>
      <c r="J69" s="11" t="n">
        <f aca="false">I69*D69</f>
        <v>150</v>
      </c>
      <c r="K69" s="11" t="n">
        <f aca="false">G69+I69</f>
        <v>1.34544</v>
      </c>
      <c r="L69" s="13" t="n">
        <v>0.6</v>
      </c>
      <c r="M69" s="11" t="n">
        <f aca="false">K69*(1+L69)</f>
        <v>2.152704</v>
      </c>
      <c r="N69" s="12" t="n">
        <v>1.98</v>
      </c>
      <c r="O69" s="11" t="n">
        <f aca="false">M69-N69</f>
        <v>0.172704</v>
      </c>
      <c r="P69" s="14" t="str">
        <f aca="false">IF(ISNUMBER(SEARCH("único",H69)),"Custo disponível de apenas 1 fornecedor para este tamanho — ver aba Inconsistências.","")</f>
        <v/>
      </c>
    </row>
    <row r="70" customFormat="false" ht="15" hidden="false" customHeight="false" outlineLevel="0" collapsed="false">
      <c r="A70" s="9" t="s">
        <v>23</v>
      </c>
      <c r="B70" s="10" t="s">
        <v>28</v>
      </c>
      <c r="C70" s="10" t="s">
        <v>62</v>
      </c>
      <c r="D70" s="10" t="n">
        <v>600</v>
      </c>
      <c r="E70" s="11" t="n">
        <f aca="false">IFERROR(_xlfn.MAXIFS('Custos Fornecedores'!$I$2:$I$55,'Custos Fornecedores'!$B$2:$B$55,$A70,'Custos Fornecedores'!$C$2:$C$55,$B70,'Custos Fornecedores'!$A$2:$A$55,"Marfel"),0)</f>
        <v>1.04544</v>
      </c>
      <c r="F70" s="11" t="n">
        <f aca="false">IFERROR(_xlfn.MAXIFS('Custos Fornecedores'!$I$2:$I$55,'Custos Fornecedores'!$B$2:$B$55,$A70,'Custos Fornecedores'!$C$2:$C$55,$B70,'Custos Fornecedores'!$A$2:$A$55,"Alquimia"),0)</f>
        <v>0.6877</v>
      </c>
      <c r="G70" s="11" t="n">
        <f aca="false">IF(E70=0,F70,IF(F70=0,E70,MAX(E70,F70)))</f>
        <v>1.04544</v>
      </c>
      <c r="H70" s="10" t="str">
        <f aca="false">IF(AND(E70=0,F70=0),"SEM DADOS",IF(E70=0,"Alquimia (único)",IF(F70=0,"Marfel (único)",IF(E70&gt;=F70,"Marfel","Alquimia"))))</f>
        <v>Marfel</v>
      </c>
      <c r="I70" s="12" t="n">
        <v>0.3</v>
      </c>
      <c r="J70" s="11" t="n">
        <f aca="false">I70*D70</f>
        <v>180</v>
      </c>
      <c r="K70" s="11" t="n">
        <f aca="false">G70+I70</f>
        <v>1.34544</v>
      </c>
      <c r="L70" s="13" t="n">
        <v>0.57</v>
      </c>
      <c r="M70" s="11" t="n">
        <f aca="false">K70*(1+L70)</f>
        <v>2.1123408</v>
      </c>
      <c r="N70" s="12" t="n">
        <v>1.94</v>
      </c>
      <c r="O70" s="11" t="n">
        <f aca="false">M70-N70</f>
        <v>0.1723408</v>
      </c>
      <c r="P70" s="14" t="str">
        <f aca="false">IF(ISNUMBER(SEARCH("único",H70)),"Custo disponível de apenas 1 fornecedor para este tamanho — ver aba Inconsistências.","")</f>
        <v/>
      </c>
    </row>
    <row r="71" customFormat="false" ht="15" hidden="false" customHeight="false" outlineLevel="0" collapsed="false">
      <c r="A71" s="9" t="s">
        <v>23</v>
      </c>
      <c r="B71" s="10" t="s">
        <v>28</v>
      </c>
      <c r="C71" s="10" t="s">
        <v>63</v>
      </c>
      <c r="D71" s="10" t="n">
        <v>700</v>
      </c>
      <c r="E71" s="11" t="n">
        <f aca="false">IFERROR(_xlfn.MAXIFS('Custos Fornecedores'!$I$2:$I$55,'Custos Fornecedores'!$B$2:$B$55,$A71,'Custos Fornecedores'!$C$2:$C$55,$B71,'Custos Fornecedores'!$A$2:$A$55,"Marfel"),0)</f>
        <v>1.04544</v>
      </c>
      <c r="F71" s="11" t="n">
        <f aca="false">IFERROR(_xlfn.MAXIFS('Custos Fornecedores'!$I$2:$I$55,'Custos Fornecedores'!$B$2:$B$55,$A71,'Custos Fornecedores'!$C$2:$C$55,$B71,'Custos Fornecedores'!$A$2:$A$55,"Alquimia"),0)</f>
        <v>0.6877</v>
      </c>
      <c r="G71" s="11" t="n">
        <f aca="false">IF(E71=0,F71,IF(F71=0,E71,MAX(E71,F71)))</f>
        <v>1.04544</v>
      </c>
      <c r="H71" s="10" t="str">
        <f aca="false">IF(AND(E71=0,F71=0),"SEM DADOS",IF(E71=0,"Alquimia (único)",IF(F71=0,"Marfel (único)",IF(E71&gt;=F71,"Marfel","Alquimia"))))</f>
        <v>Marfel</v>
      </c>
      <c r="I71" s="12" t="n">
        <v>0.3</v>
      </c>
      <c r="J71" s="11" t="n">
        <f aca="false">I71*D71</f>
        <v>210</v>
      </c>
      <c r="K71" s="11" t="n">
        <f aca="false">G71+I71</f>
        <v>1.34544</v>
      </c>
      <c r="L71" s="13" t="n">
        <v>0.54</v>
      </c>
      <c r="M71" s="11" t="n">
        <f aca="false">K71*(1+L71)</f>
        <v>2.0719776</v>
      </c>
      <c r="N71" s="12" t="n">
        <v>1.9</v>
      </c>
      <c r="O71" s="11" t="n">
        <f aca="false">M71-N71</f>
        <v>0.1719776</v>
      </c>
      <c r="P71" s="14" t="str">
        <f aca="false">IF(ISNUMBER(SEARCH("único",H71)),"Custo disponível de apenas 1 fornecedor para este tamanho — ver aba Inconsistências.","")</f>
        <v/>
      </c>
    </row>
    <row r="72" customFormat="false" ht="15" hidden="false" customHeight="false" outlineLevel="0" collapsed="false">
      <c r="A72" s="9" t="s">
        <v>23</v>
      </c>
      <c r="B72" s="10" t="s">
        <v>28</v>
      </c>
      <c r="C72" s="10" t="s">
        <v>64</v>
      </c>
      <c r="D72" s="10" t="n">
        <v>800</v>
      </c>
      <c r="E72" s="11" t="n">
        <f aca="false">IFERROR(_xlfn.MAXIFS('Custos Fornecedores'!$I$2:$I$55,'Custos Fornecedores'!$B$2:$B$55,$A72,'Custos Fornecedores'!$C$2:$C$55,$B72,'Custos Fornecedores'!$A$2:$A$55,"Marfel"),0)</f>
        <v>1.04544</v>
      </c>
      <c r="F72" s="11" t="n">
        <f aca="false">IFERROR(_xlfn.MAXIFS('Custos Fornecedores'!$I$2:$I$55,'Custos Fornecedores'!$B$2:$B$55,$A72,'Custos Fornecedores'!$C$2:$C$55,$B72,'Custos Fornecedores'!$A$2:$A$55,"Alquimia"),0)</f>
        <v>0.6877</v>
      </c>
      <c r="G72" s="11" t="n">
        <f aca="false">IF(E72=0,F72,IF(F72=0,E72,MAX(E72,F72)))</f>
        <v>1.04544</v>
      </c>
      <c r="H72" s="10" t="str">
        <f aca="false">IF(AND(E72=0,F72=0),"SEM DADOS",IF(E72=0,"Alquimia (único)",IF(F72=0,"Marfel (único)",IF(E72&gt;=F72,"Marfel","Alquimia"))))</f>
        <v>Marfel</v>
      </c>
      <c r="I72" s="12" t="n">
        <v>0.3</v>
      </c>
      <c r="J72" s="11" t="n">
        <f aca="false">I72*D72</f>
        <v>240</v>
      </c>
      <c r="K72" s="11" t="n">
        <f aca="false">G72+I72</f>
        <v>1.34544</v>
      </c>
      <c r="L72" s="13" t="n">
        <v>0.51</v>
      </c>
      <c r="M72" s="11" t="n">
        <f aca="false">K72*(1+L72)</f>
        <v>2.0316144</v>
      </c>
      <c r="N72" s="12" t="n">
        <v>1.87</v>
      </c>
      <c r="O72" s="11" t="n">
        <f aca="false">M72-N72</f>
        <v>0.1616144</v>
      </c>
      <c r="P72" s="14" t="str">
        <f aca="false">IF(ISNUMBER(SEARCH("único",H72)),"Custo disponível de apenas 1 fornecedor para este tamanho — ver aba Inconsistências.","")</f>
        <v/>
      </c>
    </row>
    <row r="73" customFormat="false" ht="15" hidden="false" customHeight="false" outlineLevel="0" collapsed="false">
      <c r="A73" s="9" t="s">
        <v>23</v>
      </c>
      <c r="B73" s="10" t="s">
        <v>28</v>
      </c>
      <c r="C73" s="10" t="s">
        <v>65</v>
      </c>
      <c r="D73" s="10" t="n">
        <v>900</v>
      </c>
      <c r="E73" s="11" t="n">
        <f aca="false">IFERROR(_xlfn.MAXIFS('Custos Fornecedores'!$I$2:$I$55,'Custos Fornecedores'!$B$2:$B$55,$A73,'Custos Fornecedores'!$C$2:$C$55,$B73,'Custos Fornecedores'!$A$2:$A$55,"Marfel"),0)</f>
        <v>1.04544</v>
      </c>
      <c r="F73" s="11" t="n">
        <f aca="false">IFERROR(_xlfn.MAXIFS('Custos Fornecedores'!$I$2:$I$55,'Custos Fornecedores'!$B$2:$B$55,$A73,'Custos Fornecedores'!$C$2:$C$55,$B73,'Custos Fornecedores'!$A$2:$A$55,"Alquimia"),0)</f>
        <v>0.6877</v>
      </c>
      <c r="G73" s="11" t="n">
        <f aca="false">IF(E73=0,F73,IF(F73=0,E73,MAX(E73,F73)))</f>
        <v>1.04544</v>
      </c>
      <c r="H73" s="10" t="str">
        <f aca="false">IF(AND(E73=0,F73=0),"SEM DADOS",IF(E73=0,"Alquimia (único)",IF(F73=0,"Marfel (único)",IF(E73&gt;=F73,"Marfel","Alquimia"))))</f>
        <v>Marfel</v>
      </c>
      <c r="I73" s="12" t="n">
        <v>0.3</v>
      </c>
      <c r="J73" s="11" t="n">
        <f aca="false">I73*D73</f>
        <v>270</v>
      </c>
      <c r="K73" s="11" t="n">
        <f aca="false">G73+I73</f>
        <v>1.34544</v>
      </c>
      <c r="L73" s="13" t="n">
        <v>0.48</v>
      </c>
      <c r="M73" s="11" t="n">
        <f aca="false">K73*(1+L73)</f>
        <v>1.9912512</v>
      </c>
      <c r="N73" s="12" t="n">
        <v>1.83</v>
      </c>
      <c r="O73" s="11" t="n">
        <f aca="false">M73-N73</f>
        <v>0.1612512</v>
      </c>
      <c r="P73" s="14" t="str">
        <f aca="false">IF(ISNUMBER(SEARCH("único",H73)),"Custo disponível de apenas 1 fornecedor para este tamanho — ver aba Inconsistências.","")</f>
        <v/>
      </c>
    </row>
    <row r="74" customFormat="false" ht="15" hidden="false" customHeight="false" outlineLevel="0" collapsed="false">
      <c r="A74" s="9" t="s">
        <v>23</v>
      </c>
      <c r="B74" s="10" t="s">
        <v>28</v>
      </c>
      <c r="C74" s="10" t="s">
        <v>66</v>
      </c>
      <c r="D74" s="10" t="n">
        <v>1000</v>
      </c>
      <c r="E74" s="11" t="n">
        <f aca="false">IFERROR(_xlfn.MAXIFS('Custos Fornecedores'!$I$2:$I$55,'Custos Fornecedores'!$B$2:$B$55,$A74,'Custos Fornecedores'!$C$2:$C$55,$B74,'Custos Fornecedores'!$A$2:$A$55,"Marfel"),0)</f>
        <v>1.04544</v>
      </c>
      <c r="F74" s="11" t="n">
        <f aca="false">IFERROR(_xlfn.MAXIFS('Custos Fornecedores'!$I$2:$I$55,'Custos Fornecedores'!$B$2:$B$55,$A74,'Custos Fornecedores'!$C$2:$C$55,$B74,'Custos Fornecedores'!$A$2:$A$55,"Alquimia"),0)</f>
        <v>0.6877</v>
      </c>
      <c r="G74" s="11" t="n">
        <f aca="false">IF(E74=0,F74,IF(F74=0,E74,MAX(E74,F74)))</f>
        <v>1.04544</v>
      </c>
      <c r="H74" s="10" t="str">
        <f aca="false">IF(AND(E74=0,F74=0),"SEM DADOS",IF(E74=0,"Alquimia (único)",IF(F74=0,"Marfel (único)",IF(E74&gt;=F74,"Marfel","Alquimia"))))</f>
        <v>Marfel</v>
      </c>
      <c r="I74" s="12" t="n">
        <v>0.3</v>
      </c>
      <c r="J74" s="11" t="n">
        <f aca="false">I74*D74</f>
        <v>300</v>
      </c>
      <c r="K74" s="11" t="n">
        <f aca="false">G74+I74</f>
        <v>1.34544</v>
      </c>
      <c r="L74" s="13" t="n">
        <v>0.4</v>
      </c>
      <c r="M74" s="11" t="n">
        <f aca="false">K74*(1+L74)</f>
        <v>1.883616</v>
      </c>
      <c r="N74" s="12" t="n">
        <v>1.73</v>
      </c>
      <c r="O74" s="11" t="n">
        <f aca="false">M74-N74</f>
        <v>0.153616</v>
      </c>
      <c r="P74" s="14" t="str">
        <f aca="false">IF(ISNUMBER(SEARCH("único",H74)),"Custo disponível de apenas 1 fornecedor para este tamanho — ver aba Inconsistências.","")</f>
        <v/>
      </c>
    </row>
    <row r="75" customFormat="false" ht="15" hidden="false" customHeight="false" outlineLevel="0" collapsed="false">
      <c r="A75" s="9" t="s">
        <v>23</v>
      </c>
      <c r="B75" s="10" t="s">
        <v>18</v>
      </c>
      <c r="C75" s="10" t="s">
        <v>57</v>
      </c>
      <c r="D75" s="10" t="n">
        <v>100</v>
      </c>
      <c r="E75" s="11" t="n">
        <f aca="false">IFERROR(_xlfn.MAXIFS('Custos Fornecedores'!$I$2:$I$55,'Custos Fornecedores'!$B$2:$B$55,$A75,'Custos Fornecedores'!$C$2:$C$55,$B75,'Custos Fornecedores'!$A$2:$A$55,"Marfel"),0)</f>
        <v>1.4688</v>
      </c>
      <c r="F75" s="11" t="n">
        <f aca="false">IFERROR(_xlfn.MAXIFS('Custos Fornecedores'!$I$2:$I$55,'Custos Fornecedores'!$B$2:$B$55,$A75,'Custos Fornecedores'!$C$2:$C$55,$B75,'Custos Fornecedores'!$A$2:$A$55,"Alquimia"),0)</f>
        <v>0.9568</v>
      </c>
      <c r="G75" s="11" t="n">
        <f aca="false">IF(E75=0,F75,IF(F75=0,E75,MAX(E75,F75)))</f>
        <v>1.4688</v>
      </c>
      <c r="H75" s="10" t="str">
        <f aca="false">IF(AND(E75=0,F75=0),"SEM DADOS",IF(E75=0,"Alquimia (único)",IF(F75=0,"Marfel (único)",IF(E75&gt;=F75,"Marfel","Alquimia"))))</f>
        <v>Marfel</v>
      </c>
      <c r="I75" s="12" t="n">
        <v>0.3</v>
      </c>
      <c r="J75" s="11" t="n">
        <f aca="false">I75*D75</f>
        <v>30</v>
      </c>
      <c r="K75" s="11" t="n">
        <f aca="false">G75+I75</f>
        <v>1.7688</v>
      </c>
      <c r="L75" s="13" t="n">
        <v>1</v>
      </c>
      <c r="M75" s="11" t="n">
        <f aca="false">K75*(1+L75)</f>
        <v>3.5376</v>
      </c>
      <c r="N75" s="12" t="n">
        <v>3.23</v>
      </c>
      <c r="O75" s="11" t="n">
        <f aca="false">M75-N75</f>
        <v>0.3076</v>
      </c>
      <c r="P75" s="14" t="str">
        <f aca="false">IF(ISNUMBER(SEARCH("único",H75)),"Custo disponível de apenas 1 fornecedor para este tamanho — ver aba Inconsistências.","")</f>
        <v/>
      </c>
    </row>
    <row r="76" customFormat="false" ht="15" hidden="false" customHeight="false" outlineLevel="0" collapsed="false">
      <c r="A76" s="9" t="s">
        <v>23</v>
      </c>
      <c r="B76" s="10" t="s">
        <v>18</v>
      </c>
      <c r="C76" s="10" t="s">
        <v>58</v>
      </c>
      <c r="D76" s="10" t="n">
        <v>200</v>
      </c>
      <c r="E76" s="11" t="n">
        <f aca="false">IFERROR(_xlfn.MAXIFS('Custos Fornecedores'!$I$2:$I$55,'Custos Fornecedores'!$B$2:$B$55,$A76,'Custos Fornecedores'!$C$2:$C$55,$B76,'Custos Fornecedores'!$A$2:$A$55,"Marfel"),0)</f>
        <v>1.4688</v>
      </c>
      <c r="F76" s="11" t="n">
        <f aca="false">IFERROR(_xlfn.MAXIFS('Custos Fornecedores'!$I$2:$I$55,'Custos Fornecedores'!$B$2:$B$55,$A76,'Custos Fornecedores'!$C$2:$C$55,$B76,'Custos Fornecedores'!$A$2:$A$55,"Alquimia"),0)</f>
        <v>0.9568</v>
      </c>
      <c r="G76" s="11" t="n">
        <f aca="false">IF(E76=0,F76,IF(F76=0,E76,MAX(E76,F76)))</f>
        <v>1.4688</v>
      </c>
      <c r="H76" s="10" t="str">
        <f aca="false">IF(AND(E76=0,F76=0),"SEM DADOS",IF(E76=0,"Alquimia (único)",IF(F76=0,"Marfel (único)",IF(E76&gt;=F76,"Marfel","Alquimia"))))</f>
        <v>Marfel</v>
      </c>
      <c r="I76" s="12" t="n">
        <v>0.3</v>
      </c>
      <c r="J76" s="11" t="n">
        <f aca="false">I76*D76</f>
        <v>60</v>
      </c>
      <c r="K76" s="11" t="n">
        <f aca="false">G76+I76</f>
        <v>1.7688</v>
      </c>
      <c r="L76" s="13" t="n">
        <v>0.75</v>
      </c>
      <c r="M76" s="11" t="n">
        <f aca="false">K76*(1+L76)</f>
        <v>3.0954</v>
      </c>
      <c r="N76" s="12" t="n">
        <v>2.83</v>
      </c>
      <c r="O76" s="11" t="n">
        <f aca="false">M76-N76</f>
        <v>0.2654</v>
      </c>
      <c r="P76" s="14" t="str">
        <f aca="false">IF(ISNUMBER(SEARCH("único",H76)),"Custo disponível de apenas 1 fornecedor para este tamanho — ver aba Inconsistências.","")</f>
        <v/>
      </c>
    </row>
    <row r="77" customFormat="false" ht="15" hidden="false" customHeight="false" outlineLevel="0" collapsed="false">
      <c r="A77" s="9" t="s">
        <v>23</v>
      </c>
      <c r="B77" s="10" t="s">
        <v>18</v>
      </c>
      <c r="C77" s="10" t="s">
        <v>59</v>
      </c>
      <c r="D77" s="10" t="n">
        <v>300</v>
      </c>
      <c r="E77" s="11" t="n">
        <f aca="false">IFERROR(_xlfn.MAXIFS('Custos Fornecedores'!$I$2:$I$55,'Custos Fornecedores'!$B$2:$B$55,$A77,'Custos Fornecedores'!$C$2:$C$55,$B77,'Custos Fornecedores'!$A$2:$A$55,"Marfel"),0)</f>
        <v>1.4688</v>
      </c>
      <c r="F77" s="11" t="n">
        <f aca="false">IFERROR(_xlfn.MAXIFS('Custos Fornecedores'!$I$2:$I$55,'Custos Fornecedores'!$B$2:$B$55,$A77,'Custos Fornecedores'!$C$2:$C$55,$B77,'Custos Fornecedores'!$A$2:$A$55,"Alquimia"),0)</f>
        <v>0.9568</v>
      </c>
      <c r="G77" s="11" t="n">
        <f aca="false">IF(E77=0,F77,IF(F77=0,E77,MAX(E77,F77)))</f>
        <v>1.4688</v>
      </c>
      <c r="H77" s="10" t="str">
        <f aca="false">IF(AND(E77=0,F77=0),"SEM DADOS",IF(E77=0,"Alquimia (único)",IF(F77=0,"Marfel (único)",IF(E77&gt;=F77,"Marfel","Alquimia"))))</f>
        <v>Marfel</v>
      </c>
      <c r="I77" s="12" t="n">
        <v>0.3</v>
      </c>
      <c r="J77" s="11" t="n">
        <f aca="false">I77*D77</f>
        <v>90</v>
      </c>
      <c r="K77" s="11" t="n">
        <f aca="false">G77+I77</f>
        <v>1.7688</v>
      </c>
      <c r="L77" s="13" t="n">
        <v>0.7</v>
      </c>
      <c r="M77" s="11" t="n">
        <f aca="false">K77*(1+L77)</f>
        <v>3.00696</v>
      </c>
      <c r="N77" s="12" t="n">
        <v>2.75</v>
      </c>
      <c r="O77" s="11" t="n">
        <f aca="false">M77-N77</f>
        <v>0.25696</v>
      </c>
      <c r="P77" s="14" t="str">
        <f aca="false">IF(ISNUMBER(SEARCH("único",H77)),"Custo disponível de apenas 1 fornecedor para este tamanho — ver aba Inconsistências.","")</f>
        <v/>
      </c>
    </row>
    <row r="78" customFormat="false" ht="15" hidden="false" customHeight="false" outlineLevel="0" collapsed="false">
      <c r="A78" s="9" t="s">
        <v>23</v>
      </c>
      <c r="B78" s="10" t="s">
        <v>18</v>
      </c>
      <c r="C78" s="10" t="s">
        <v>60</v>
      </c>
      <c r="D78" s="10" t="n">
        <v>400</v>
      </c>
      <c r="E78" s="11" t="n">
        <f aca="false">IFERROR(_xlfn.MAXIFS('Custos Fornecedores'!$I$2:$I$55,'Custos Fornecedores'!$B$2:$B$55,$A78,'Custos Fornecedores'!$C$2:$C$55,$B78,'Custos Fornecedores'!$A$2:$A$55,"Marfel"),0)</f>
        <v>1.4688</v>
      </c>
      <c r="F78" s="11" t="n">
        <f aca="false">IFERROR(_xlfn.MAXIFS('Custos Fornecedores'!$I$2:$I$55,'Custos Fornecedores'!$B$2:$B$55,$A78,'Custos Fornecedores'!$C$2:$C$55,$B78,'Custos Fornecedores'!$A$2:$A$55,"Alquimia"),0)</f>
        <v>0.9568</v>
      </c>
      <c r="G78" s="11" t="n">
        <f aca="false">IF(E78=0,F78,IF(F78=0,E78,MAX(E78,F78)))</f>
        <v>1.4688</v>
      </c>
      <c r="H78" s="10" t="str">
        <f aca="false">IF(AND(E78=0,F78=0),"SEM DADOS",IF(E78=0,"Alquimia (único)",IF(F78=0,"Marfel (único)",IF(E78&gt;=F78,"Marfel","Alquimia"))))</f>
        <v>Marfel</v>
      </c>
      <c r="I78" s="12" t="n">
        <v>0.3</v>
      </c>
      <c r="J78" s="11" t="n">
        <f aca="false">I78*D78</f>
        <v>120</v>
      </c>
      <c r="K78" s="11" t="n">
        <f aca="false">G78+I78</f>
        <v>1.7688</v>
      </c>
      <c r="L78" s="13" t="n">
        <v>0.65</v>
      </c>
      <c r="M78" s="11" t="n">
        <f aca="false">K78*(1+L78)</f>
        <v>2.91852</v>
      </c>
      <c r="N78" s="12" t="n">
        <v>2.67</v>
      </c>
      <c r="O78" s="11" t="n">
        <f aca="false">M78-N78</f>
        <v>0.24852</v>
      </c>
      <c r="P78" s="14" t="str">
        <f aca="false">IF(ISNUMBER(SEARCH("único",H78)),"Custo disponível de apenas 1 fornecedor para este tamanho — ver aba Inconsistências.","")</f>
        <v/>
      </c>
    </row>
    <row r="79" customFormat="false" ht="15" hidden="false" customHeight="false" outlineLevel="0" collapsed="false">
      <c r="A79" s="9" t="s">
        <v>23</v>
      </c>
      <c r="B79" s="10" t="s">
        <v>18</v>
      </c>
      <c r="C79" s="10" t="s">
        <v>61</v>
      </c>
      <c r="D79" s="10" t="n">
        <v>500</v>
      </c>
      <c r="E79" s="11" t="n">
        <f aca="false">IFERROR(_xlfn.MAXIFS('Custos Fornecedores'!$I$2:$I$55,'Custos Fornecedores'!$B$2:$B$55,$A79,'Custos Fornecedores'!$C$2:$C$55,$B79,'Custos Fornecedores'!$A$2:$A$55,"Marfel"),0)</f>
        <v>1.4688</v>
      </c>
      <c r="F79" s="11" t="n">
        <f aca="false">IFERROR(_xlfn.MAXIFS('Custos Fornecedores'!$I$2:$I$55,'Custos Fornecedores'!$B$2:$B$55,$A79,'Custos Fornecedores'!$C$2:$C$55,$B79,'Custos Fornecedores'!$A$2:$A$55,"Alquimia"),0)</f>
        <v>0.9568</v>
      </c>
      <c r="G79" s="11" t="n">
        <f aca="false">IF(E79=0,F79,IF(F79=0,E79,MAX(E79,F79)))</f>
        <v>1.4688</v>
      </c>
      <c r="H79" s="10" t="str">
        <f aca="false">IF(AND(E79=0,F79=0),"SEM DADOS",IF(E79=0,"Alquimia (único)",IF(F79=0,"Marfel (único)",IF(E79&gt;=F79,"Marfel","Alquimia"))))</f>
        <v>Marfel</v>
      </c>
      <c r="I79" s="12" t="n">
        <v>0.3</v>
      </c>
      <c r="J79" s="11" t="n">
        <f aca="false">I79*D79</f>
        <v>150</v>
      </c>
      <c r="K79" s="11" t="n">
        <f aca="false">G79+I79</f>
        <v>1.7688</v>
      </c>
      <c r="L79" s="13" t="n">
        <v>0.6</v>
      </c>
      <c r="M79" s="11" t="n">
        <f aca="false">K79*(1+L79)</f>
        <v>2.83008</v>
      </c>
      <c r="N79" s="12" t="n">
        <v>2.59</v>
      </c>
      <c r="O79" s="11" t="n">
        <f aca="false">M79-N79</f>
        <v>0.24008</v>
      </c>
      <c r="P79" s="14" t="str">
        <f aca="false">IF(ISNUMBER(SEARCH("único",H79)),"Custo disponível de apenas 1 fornecedor para este tamanho — ver aba Inconsistências.","")</f>
        <v/>
      </c>
    </row>
    <row r="80" customFormat="false" ht="15" hidden="false" customHeight="false" outlineLevel="0" collapsed="false">
      <c r="A80" s="9" t="s">
        <v>23</v>
      </c>
      <c r="B80" s="10" t="s">
        <v>18</v>
      </c>
      <c r="C80" s="10" t="s">
        <v>62</v>
      </c>
      <c r="D80" s="10" t="n">
        <v>600</v>
      </c>
      <c r="E80" s="11" t="n">
        <f aca="false">IFERROR(_xlfn.MAXIFS('Custos Fornecedores'!$I$2:$I$55,'Custos Fornecedores'!$B$2:$B$55,$A80,'Custos Fornecedores'!$C$2:$C$55,$B80,'Custos Fornecedores'!$A$2:$A$55,"Marfel"),0)</f>
        <v>1.4688</v>
      </c>
      <c r="F80" s="11" t="n">
        <f aca="false">IFERROR(_xlfn.MAXIFS('Custos Fornecedores'!$I$2:$I$55,'Custos Fornecedores'!$B$2:$B$55,$A80,'Custos Fornecedores'!$C$2:$C$55,$B80,'Custos Fornecedores'!$A$2:$A$55,"Alquimia"),0)</f>
        <v>0.9568</v>
      </c>
      <c r="G80" s="11" t="n">
        <f aca="false">IF(E80=0,F80,IF(F80=0,E80,MAX(E80,F80)))</f>
        <v>1.4688</v>
      </c>
      <c r="H80" s="10" t="str">
        <f aca="false">IF(AND(E80=0,F80=0),"SEM DADOS",IF(E80=0,"Alquimia (único)",IF(F80=0,"Marfel (único)",IF(E80&gt;=F80,"Marfel","Alquimia"))))</f>
        <v>Marfel</v>
      </c>
      <c r="I80" s="12" t="n">
        <v>0.3</v>
      </c>
      <c r="J80" s="11" t="n">
        <f aca="false">I80*D80</f>
        <v>180</v>
      </c>
      <c r="K80" s="11" t="n">
        <f aca="false">G80+I80</f>
        <v>1.7688</v>
      </c>
      <c r="L80" s="13" t="n">
        <v>0.57</v>
      </c>
      <c r="M80" s="11" t="n">
        <f aca="false">K80*(1+L80)</f>
        <v>2.777016</v>
      </c>
      <c r="N80" s="12" t="n">
        <v>2.54</v>
      </c>
      <c r="O80" s="11" t="n">
        <f aca="false">M80-N80</f>
        <v>0.237016</v>
      </c>
      <c r="P80" s="14" t="str">
        <f aca="false">IF(ISNUMBER(SEARCH("único",H80)),"Custo disponível de apenas 1 fornecedor para este tamanho — ver aba Inconsistências.","")</f>
        <v/>
      </c>
    </row>
    <row r="81" customFormat="false" ht="15" hidden="false" customHeight="false" outlineLevel="0" collapsed="false">
      <c r="A81" s="9" t="s">
        <v>23</v>
      </c>
      <c r="B81" s="10" t="s">
        <v>18</v>
      </c>
      <c r="C81" s="10" t="s">
        <v>63</v>
      </c>
      <c r="D81" s="10" t="n">
        <v>700</v>
      </c>
      <c r="E81" s="11" t="n">
        <f aca="false">IFERROR(_xlfn.MAXIFS('Custos Fornecedores'!$I$2:$I$55,'Custos Fornecedores'!$B$2:$B$55,$A81,'Custos Fornecedores'!$C$2:$C$55,$B81,'Custos Fornecedores'!$A$2:$A$55,"Marfel"),0)</f>
        <v>1.4688</v>
      </c>
      <c r="F81" s="11" t="n">
        <f aca="false">IFERROR(_xlfn.MAXIFS('Custos Fornecedores'!$I$2:$I$55,'Custos Fornecedores'!$B$2:$B$55,$A81,'Custos Fornecedores'!$C$2:$C$55,$B81,'Custos Fornecedores'!$A$2:$A$55,"Alquimia"),0)</f>
        <v>0.9568</v>
      </c>
      <c r="G81" s="11" t="n">
        <f aca="false">IF(E81=0,F81,IF(F81=0,E81,MAX(E81,F81)))</f>
        <v>1.4688</v>
      </c>
      <c r="H81" s="10" t="str">
        <f aca="false">IF(AND(E81=0,F81=0),"SEM DADOS",IF(E81=0,"Alquimia (único)",IF(F81=0,"Marfel (único)",IF(E81&gt;=F81,"Marfel","Alquimia"))))</f>
        <v>Marfel</v>
      </c>
      <c r="I81" s="12" t="n">
        <v>0.3</v>
      </c>
      <c r="J81" s="11" t="n">
        <f aca="false">I81*D81</f>
        <v>210</v>
      </c>
      <c r="K81" s="11" t="n">
        <f aca="false">G81+I81</f>
        <v>1.7688</v>
      </c>
      <c r="L81" s="13" t="n">
        <v>0.54</v>
      </c>
      <c r="M81" s="11" t="n">
        <f aca="false">K81*(1+L81)</f>
        <v>2.723952</v>
      </c>
      <c r="N81" s="12" t="n">
        <v>2.49</v>
      </c>
      <c r="O81" s="11" t="n">
        <f aca="false">M81-N81</f>
        <v>0.233952</v>
      </c>
      <c r="P81" s="14" t="str">
        <f aca="false">IF(ISNUMBER(SEARCH("único",H81)),"Custo disponível de apenas 1 fornecedor para este tamanho — ver aba Inconsistências.","")</f>
        <v/>
      </c>
    </row>
    <row r="82" customFormat="false" ht="15" hidden="false" customHeight="false" outlineLevel="0" collapsed="false">
      <c r="A82" s="9" t="s">
        <v>23</v>
      </c>
      <c r="B82" s="10" t="s">
        <v>18</v>
      </c>
      <c r="C82" s="10" t="s">
        <v>64</v>
      </c>
      <c r="D82" s="10" t="n">
        <v>800</v>
      </c>
      <c r="E82" s="11" t="n">
        <f aca="false">IFERROR(_xlfn.MAXIFS('Custos Fornecedores'!$I$2:$I$55,'Custos Fornecedores'!$B$2:$B$55,$A82,'Custos Fornecedores'!$C$2:$C$55,$B82,'Custos Fornecedores'!$A$2:$A$55,"Marfel"),0)</f>
        <v>1.4688</v>
      </c>
      <c r="F82" s="11" t="n">
        <f aca="false">IFERROR(_xlfn.MAXIFS('Custos Fornecedores'!$I$2:$I$55,'Custos Fornecedores'!$B$2:$B$55,$A82,'Custos Fornecedores'!$C$2:$C$55,$B82,'Custos Fornecedores'!$A$2:$A$55,"Alquimia"),0)</f>
        <v>0.9568</v>
      </c>
      <c r="G82" s="11" t="n">
        <f aca="false">IF(E82=0,F82,IF(F82=0,E82,MAX(E82,F82)))</f>
        <v>1.4688</v>
      </c>
      <c r="H82" s="10" t="str">
        <f aca="false">IF(AND(E82=0,F82=0),"SEM DADOS",IF(E82=0,"Alquimia (único)",IF(F82=0,"Marfel (único)",IF(E82&gt;=F82,"Marfel","Alquimia"))))</f>
        <v>Marfel</v>
      </c>
      <c r="I82" s="12" t="n">
        <v>0.3</v>
      </c>
      <c r="J82" s="11" t="n">
        <f aca="false">I82*D82</f>
        <v>240</v>
      </c>
      <c r="K82" s="11" t="n">
        <f aca="false">G82+I82</f>
        <v>1.7688</v>
      </c>
      <c r="L82" s="13" t="n">
        <v>0.51</v>
      </c>
      <c r="M82" s="11" t="n">
        <f aca="false">K82*(1+L82)</f>
        <v>2.670888</v>
      </c>
      <c r="N82" s="12" t="n">
        <v>2.44</v>
      </c>
      <c r="O82" s="11" t="n">
        <f aca="false">M82-N82</f>
        <v>0.230888</v>
      </c>
      <c r="P82" s="14" t="str">
        <f aca="false">IF(ISNUMBER(SEARCH("único",H82)),"Custo disponível de apenas 1 fornecedor para este tamanho — ver aba Inconsistências.","")</f>
        <v/>
      </c>
    </row>
    <row r="83" customFormat="false" ht="15" hidden="false" customHeight="false" outlineLevel="0" collapsed="false">
      <c r="A83" s="9" t="s">
        <v>23</v>
      </c>
      <c r="B83" s="10" t="s">
        <v>18</v>
      </c>
      <c r="C83" s="10" t="s">
        <v>65</v>
      </c>
      <c r="D83" s="10" t="n">
        <v>900</v>
      </c>
      <c r="E83" s="11" t="n">
        <f aca="false">IFERROR(_xlfn.MAXIFS('Custos Fornecedores'!$I$2:$I$55,'Custos Fornecedores'!$B$2:$B$55,$A83,'Custos Fornecedores'!$C$2:$C$55,$B83,'Custos Fornecedores'!$A$2:$A$55,"Marfel"),0)</f>
        <v>1.4688</v>
      </c>
      <c r="F83" s="11" t="n">
        <f aca="false">IFERROR(_xlfn.MAXIFS('Custos Fornecedores'!$I$2:$I$55,'Custos Fornecedores'!$B$2:$B$55,$A83,'Custos Fornecedores'!$C$2:$C$55,$B83,'Custos Fornecedores'!$A$2:$A$55,"Alquimia"),0)</f>
        <v>0.9568</v>
      </c>
      <c r="G83" s="11" t="n">
        <f aca="false">IF(E83=0,F83,IF(F83=0,E83,MAX(E83,F83)))</f>
        <v>1.4688</v>
      </c>
      <c r="H83" s="10" t="str">
        <f aca="false">IF(AND(E83=0,F83=0),"SEM DADOS",IF(E83=0,"Alquimia (único)",IF(F83=0,"Marfel (único)",IF(E83&gt;=F83,"Marfel","Alquimia"))))</f>
        <v>Marfel</v>
      </c>
      <c r="I83" s="12" t="n">
        <v>0.3</v>
      </c>
      <c r="J83" s="11" t="n">
        <f aca="false">I83*D83</f>
        <v>270</v>
      </c>
      <c r="K83" s="11" t="n">
        <f aca="false">G83+I83</f>
        <v>1.7688</v>
      </c>
      <c r="L83" s="13" t="n">
        <v>0.48</v>
      </c>
      <c r="M83" s="11" t="n">
        <f aca="false">K83*(1+L83)</f>
        <v>2.617824</v>
      </c>
      <c r="N83" s="12" t="n">
        <v>2.39</v>
      </c>
      <c r="O83" s="11" t="n">
        <f aca="false">M83-N83</f>
        <v>0.227824</v>
      </c>
      <c r="P83" s="14" t="str">
        <f aca="false">IF(ISNUMBER(SEARCH("único",H83)),"Custo disponível de apenas 1 fornecedor para este tamanho — ver aba Inconsistências.","")</f>
        <v/>
      </c>
    </row>
    <row r="84" customFormat="false" ht="15" hidden="false" customHeight="false" outlineLevel="0" collapsed="false">
      <c r="A84" s="9" t="s">
        <v>23</v>
      </c>
      <c r="B84" s="10" t="s">
        <v>18</v>
      </c>
      <c r="C84" s="10" t="s">
        <v>66</v>
      </c>
      <c r="D84" s="10" t="n">
        <v>1000</v>
      </c>
      <c r="E84" s="11" t="n">
        <f aca="false">IFERROR(_xlfn.MAXIFS('Custos Fornecedores'!$I$2:$I$55,'Custos Fornecedores'!$B$2:$B$55,$A84,'Custos Fornecedores'!$C$2:$C$55,$B84,'Custos Fornecedores'!$A$2:$A$55,"Marfel"),0)</f>
        <v>1.4688</v>
      </c>
      <c r="F84" s="11" t="n">
        <f aca="false">IFERROR(_xlfn.MAXIFS('Custos Fornecedores'!$I$2:$I$55,'Custos Fornecedores'!$B$2:$B$55,$A84,'Custos Fornecedores'!$C$2:$C$55,$B84,'Custos Fornecedores'!$A$2:$A$55,"Alquimia"),0)</f>
        <v>0.9568</v>
      </c>
      <c r="G84" s="11" t="n">
        <f aca="false">IF(E84=0,F84,IF(F84=0,E84,MAX(E84,F84)))</f>
        <v>1.4688</v>
      </c>
      <c r="H84" s="10" t="str">
        <f aca="false">IF(AND(E84=0,F84=0),"SEM DADOS",IF(E84=0,"Alquimia (único)",IF(F84=0,"Marfel (único)",IF(E84&gt;=F84,"Marfel","Alquimia"))))</f>
        <v>Marfel</v>
      </c>
      <c r="I84" s="12" t="n">
        <v>0.3</v>
      </c>
      <c r="J84" s="11" t="n">
        <f aca="false">I84*D84</f>
        <v>300</v>
      </c>
      <c r="K84" s="11" t="n">
        <f aca="false">G84+I84</f>
        <v>1.7688</v>
      </c>
      <c r="L84" s="13" t="n">
        <v>0.4</v>
      </c>
      <c r="M84" s="11" t="n">
        <f aca="false">K84*(1+L84)</f>
        <v>2.47632</v>
      </c>
      <c r="N84" s="12" t="n">
        <v>2.26</v>
      </c>
      <c r="O84" s="11" t="n">
        <f aca="false">M84-N84</f>
        <v>0.21632</v>
      </c>
      <c r="P84" s="14" t="str">
        <f aca="false">IF(ISNUMBER(SEARCH("único",H84)),"Custo disponível de apenas 1 fornecedor para este tamanho — ver aba Inconsistências.","")</f>
        <v/>
      </c>
    </row>
    <row r="85" customFormat="false" ht="15" hidden="false" customHeight="false" outlineLevel="0" collapsed="false">
      <c r="A85" s="9" t="s">
        <v>23</v>
      </c>
      <c r="B85" s="10" t="s">
        <v>30</v>
      </c>
      <c r="C85" s="10" t="s">
        <v>57</v>
      </c>
      <c r="D85" s="10" t="n">
        <v>100</v>
      </c>
      <c r="E85" s="11" t="n">
        <f aca="false">IFERROR(_xlfn.MAXIFS('Custos Fornecedores'!$I$2:$I$55,'Custos Fornecedores'!$B$2:$B$55,$A85,'Custos Fornecedores'!$C$2:$C$55,$B85,'Custos Fornecedores'!$A$2:$A$55,"Marfel"),0)</f>
        <v>1.76256</v>
      </c>
      <c r="F85" s="11" t="n">
        <f aca="false">IFERROR(_xlfn.MAXIFS('Custos Fornecedores'!$I$2:$I$55,'Custos Fornecedores'!$B$2:$B$55,$A85,'Custos Fornecedores'!$C$2:$C$55,$B85,'Custos Fornecedores'!$A$2:$A$55,"Alquimia"),0)</f>
        <v>1.196</v>
      </c>
      <c r="G85" s="11" t="n">
        <f aca="false">IF(E85=0,F85,IF(F85=0,E85,MAX(E85,F85)))</f>
        <v>1.76256</v>
      </c>
      <c r="H85" s="10" t="str">
        <f aca="false">IF(AND(E85=0,F85=0),"SEM DADOS",IF(E85=0,"Alquimia (único)",IF(F85=0,"Marfel (único)",IF(E85&gt;=F85,"Marfel","Alquimia"))))</f>
        <v>Marfel</v>
      </c>
      <c r="I85" s="12" t="n">
        <v>0.3</v>
      </c>
      <c r="J85" s="11" t="n">
        <f aca="false">I85*D85</f>
        <v>30</v>
      </c>
      <c r="K85" s="11" t="n">
        <f aca="false">G85+I85</f>
        <v>2.06256</v>
      </c>
      <c r="L85" s="13" t="n">
        <v>1</v>
      </c>
      <c r="M85" s="11" t="n">
        <f aca="false">K85*(1+L85)</f>
        <v>4.12512</v>
      </c>
      <c r="N85" s="12" t="n">
        <v>3.76</v>
      </c>
      <c r="O85" s="11" t="n">
        <f aca="false">M85-N85</f>
        <v>0.36512</v>
      </c>
      <c r="P85" s="14" t="str">
        <f aca="false">IF(ISNUMBER(SEARCH("único",H85)),"Custo disponível de apenas 1 fornecedor para este tamanho — ver aba Inconsistências.","")</f>
        <v/>
      </c>
    </row>
    <row r="86" customFormat="false" ht="15" hidden="false" customHeight="false" outlineLevel="0" collapsed="false">
      <c r="A86" s="9" t="s">
        <v>23</v>
      </c>
      <c r="B86" s="10" t="s">
        <v>30</v>
      </c>
      <c r="C86" s="10" t="s">
        <v>58</v>
      </c>
      <c r="D86" s="10" t="n">
        <v>200</v>
      </c>
      <c r="E86" s="11" t="n">
        <f aca="false">IFERROR(_xlfn.MAXIFS('Custos Fornecedores'!$I$2:$I$55,'Custos Fornecedores'!$B$2:$B$55,$A86,'Custos Fornecedores'!$C$2:$C$55,$B86,'Custos Fornecedores'!$A$2:$A$55,"Marfel"),0)</f>
        <v>1.76256</v>
      </c>
      <c r="F86" s="11" t="n">
        <f aca="false">IFERROR(_xlfn.MAXIFS('Custos Fornecedores'!$I$2:$I$55,'Custos Fornecedores'!$B$2:$B$55,$A86,'Custos Fornecedores'!$C$2:$C$55,$B86,'Custos Fornecedores'!$A$2:$A$55,"Alquimia"),0)</f>
        <v>1.196</v>
      </c>
      <c r="G86" s="11" t="n">
        <f aca="false">IF(E86=0,F86,IF(F86=0,E86,MAX(E86,F86)))</f>
        <v>1.76256</v>
      </c>
      <c r="H86" s="10" t="str">
        <f aca="false">IF(AND(E86=0,F86=0),"SEM DADOS",IF(E86=0,"Alquimia (único)",IF(F86=0,"Marfel (único)",IF(E86&gt;=F86,"Marfel","Alquimia"))))</f>
        <v>Marfel</v>
      </c>
      <c r="I86" s="12" t="n">
        <v>0.3</v>
      </c>
      <c r="J86" s="11" t="n">
        <f aca="false">I86*D86</f>
        <v>60</v>
      </c>
      <c r="K86" s="11" t="n">
        <f aca="false">G86+I86</f>
        <v>2.06256</v>
      </c>
      <c r="L86" s="13" t="n">
        <v>0.75</v>
      </c>
      <c r="M86" s="11" t="n">
        <f aca="false">K86*(1+L86)</f>
        <v>3.60948</v>
      </c>
      <c r="N86" s="12" t="n">
        <v>3.29</v>
      </c>
      <c r="O86" s="11" t="n">
        <f aca="false">M86-N86</f>
        <v>0.31948</v>
      </c>
      <c r="P86" s="14" t="str">
        <f aca="false">IF(ISNUMBER(SEARCH("único",H86)),"Custo disponível de apenas 1 fornecedor para este tamanho — ver aba Inconsistências.","")</f>
        <v/>
      </c>
    </row>
    <row r="87" customFormat="false" ht="15" hidden="false" customHeight="false" outlineLevel="0" collapsed="false">
      <c r="A87" s="9" t="s">
        <v>23</v>
      </c>
      <c r="B87" s="10" t="s">
        <v>30</v>
      </c>
      <c r="C87" s="10" t="s">
        <v>59</v>
      </c>
      <c r="D87" s="10" t="n">
        <v>300</v>
      </c>
      <c r="E87" s="11" t="n">
        <f aca="false">IFERROR(_xlfn.MAXIFS('Custos Fornecedores'!$I$2:$I$55,'Custos Fornecedores'!$B$2:$B$55,$A87,'Custos Fornecedores'!$C$2:$C$55,$B87,'Custos Fornecedores'!$A$2:$A$55,"Marfel"),0)</f>
        <v>1.76256</v>
      </c>
      <c r="F87" s="11" t="n">
        <f aca="false">IFERROR(_xlfn.MAXIFS('Custos Fornecedores'!$I$2:$I$55,'Custos Fornecedores'!$B$2:$B$55,$A87,'Custos Fornecedores'!$C$2:$C$55,$B87,'Custos Fornecedores'!$A$2:$A$55,"Alquimia"),0)</f>
        <v>1.196</v>
      </c>
      <c r="G87" s="11" t="n">
        <f aca="false">IF(E87=0,F87,IF(F87=0,E87,MAX(E87,F87)))</f>
        <v>1.76256</v>
      </c>
      <c r="H87" s="10" t="str">
        <f aca="false">IF(AND(E87=0,F87=0),"SEM DADOS",IF(E87=0,"Alquimia (único)",IF(F87=0,"Marfel (único)",IF(E87&gt;=F87,"Marfel","Alquimia"))))</f>
        <v>Marfel</v>
      </c>
      <c r="I87" s="12" t="n">
        <v>0.3</v>
      </c>
      <c r="J87" s="11" t="n">
        <f aca="false">I87*D87</f>
        <v>90</v>
      </c>
      <c r="K87" s="11" t="n">
        <f aca="false">G87+I87</f>
        <v>2.06256</v>
      </c>
      <c r="L87" s="13" t="n">
        <v>0.7</v>
      </c>
      <c r="M87" s="11" t="n">
        <f aca="false">K87*(1+L87)</f>
        <v>3.506352</v>
      </c>
      <c r="N87" s="12" t="n">
        <v>3.19</v>
      </c>
      <c r="O87" s="11" t="n">
        <f aca="false">M87-N87</f>
        <v>0.316352</v>
      </c>
      <c r="P87" s="14" t="str">
        <f aca="false">IF(ISNUMBER(SEARCH("único",H87)),"Custo disponível de apenas 1 fornecedor para este tamanho — ver aba Inconsistências.","")</f>
        <v/>
      </c>
    </row>
    <row r="88" customFormat="false" ht="15" hidden="false" customHeight="false" outlineLevel="0" collapsed="false">
      <c r="A88" s="9" t="s">
        <v>23</v>
      </c>
      <c r="B88" s="10" t="s">
        <v>30</v>
      </c>
      <c r="C88" s="10" t="s">
        <v>60</v>
      </c>
      <c r="D88" s="10" t="n">
        <v>400</v>
      </c>
      <c r="E88" s="11" t="n">
        <f aca="false">IFERROR(_xlfn.MAXIFS('Custos Fornecedores'!$I$2:$I$55,'Custos Fornecedores'!$B$2:$B$55,$A88,'Custos Fornecedores'!$C$2:$C$55,$B88,'Custos Fornecedores'!$A$2:$A$55,"Marfel"),0)</f>
        <v>1.76256</v>
      </c>
      <c r="F88" s="11" t="n">
        <f aca="false">IFERROR(_xlfn.MAXIFS('Custos Fornecedores'!$I$2:$I$55,'Custos Fornecedores'!$B$2:$B$55,$A88,'Custos Fornecedores'!$C$2:$C$55,$B88,'Custos Fornecedores'!$A$2:$A$55,"Alquimia"),0)</f>
        <v>1.196</v>
      </c>
      <c r="G88" s="11" t="n">
        <f aca="false">IF(E88=0,F88,IF(F88=0,E88,MAX(E88,F88)))</f>
        <v>1.76256</v>
      </c>
      <c r="H88" s="10" t="str">
        <f aca="false">IF(AND(E88=0,F88=0),"SEM DADOS",IF(E88=0,"Alquimia (único)",IF(F88=0,"Marfel (único)",IF(E88&gt;=F88,"Marfel","Alquimia"))))</f>
        <v>Marfel</v>
      </c>
      <c r="I88" s="12" t="n">
        <v>0.3</v>
      </c>
      <c r="J88" s="11" t="n">
        <f aca="false">I88*D88</f>
        <v>120</v>
      </c>
      <c r="K88" s="11" t="n">
        <f aca="false">G88+I88</f>
        <v>2.06256</v>
      </c>
      <c r="L88" s="13" t="n">
        <v>0.65</v>
      </c>
      <c r="M88" s="11" t="n">
        <f aca="false">K88*(1+L88)</f>
        <v>3.403224</v>
      </c>
      <c r="N88" s="12" t="n">
        <v>3.1</v>
      </c>
      <c r="O88" s="11" t="n">
        <f aca="false">M88-N88</f>
        <v>0.303224</v>
      </c>
      <c r="P88" s="14" t="str">
        <f aca="false">IF(ISNUMBER(SEARCH("único",H88)),"Custo disponível de apenas 1 fornecedor para este tamanho — ver aba Inconsistências.","")</f>
        <v/>
      </c>
    </row>
    <row r="89" customFormat="false" ht="15" hidden="false" customHeight="false" outlineLevel="0" collapsed="false">
      <c r="A89" s="9" t="s">
        <v>23</v>
      </c>
      <c r="B89" s="10" t="s">
        <v>30</v>
      </c>
      <c r="C89" s="10" t="s">
        <v>61</v>
      </c>
      <c r="D89" s="10" t="n">
        <v>500</v>
      </c>
      <c r="E89" s="11" t="n">
        <f aca="false">IFERROR(_xlfn.MAXIFS('Custos Fornecedores'!$I$2:$I$55,'Custos Fornecedores'!$B$2:$B$55,$A89,'Custos Fornecedores'!$C$2:$C$55,$B89,'Custos Fornecedores'!$A$2:$A$55,"Marfel"),0)</f>
        <v>1.76256</v>
      </c>
      <c r="F89" s="11" t="n">
        <f aca="false">IFERROR(_xlfn.MAXIFS('Custos Fornecedores'!$I$2:$I$55,'Custos Fornecedores'!$B$2:$B$55,$A89,'Custos Fornecedores'!$C$2:$C$55,$B89,'Custos Fornecedores'!$A$2:$A$55,"Alquimia"),0)</f>
        <v>1.196</v>
      </c>
      <c r="G89" s="11" t="n">
        <f aca="false">IF(E89=0,F89,IF(F89=0,E89,MAX(E89,F89)))</f>
        <v>1.76256</v>
      </c>
      <c r="H89" s="10" t="str">
        <f aca="false">IF(AND(E89=0,F89=0),"SEM DADOS",IF(E89=0,"Alquimia (único)",IF(F89=0,"Marfel (único)",IF(E89&gt;=F89,"Marfel","Alquimia"))))</f>
        <v>Marfel</v>
      </c>
      <c r="I89" s="12" t="n">
        <v>0.3</v>
      </c>
      <c r="J89" s="11" t="n">
        <f aca="false">I89*D89</f>
        <v>150</v>
      </c>
      <c r="K89" s="11" t="n">
        <f aca="false">G89+I89</f>
        <v>2.06256</v>
      </c>
      <c r="L89" s="13" t="n">
        <v>0.6</v>
      </c>
      <c r="M89" s="11" t="n">
        <f aca="false">K89*(1+L89)</f>
        <v>3.300096</v>
      </c>
      <c r="N89" s="12" t="n">
        <v>3.01</v>
      </c>
      <c r="O89" s="11" t="n">
        <f aca="false">M89-N89</f>
        <v>0.290096</v>
      </c>
      <c r="P89" s="14" t="str">
        <f aca="false">IF(ISNUMBER(SEARCH("único",H89)),"Custo disponível de apenas 1 fornecedor para este tamanho — ver aba Inconsistências.","")</f>
        <v/>
      </c>
    </row>
    <row r="90" customFormat="false" ht="15" hidden="false" customHeight="false" outlineLevel="0" collapsed="false">
      <c r="A90" s="9" t="s">
        <v>23</v>
      </c>
      <c r="B90" s="10" t="s">
        <v>30</v>
      </c>
      <c r="C90" s="10" t="s">
        <v>62</v>
      </c>
      <c r="D90" s="10" t="n">
        <v>600</v>
      </c>
      <c r="E90" s="11" t="n">
        <f aca="false">IFERROR(_xlfn.MAXIFS('Custos Fornecedores'!$I$2:$I$55,'Custos Fornecedores'!$B$2:$B$55,$A90,'Custos Fornecedores'!$C$2:$C$55,$B90,'Custos Fornecedores'!$A$2:$A$55,"Marfel"),0)</f>
        <v>1.76256</v>
      </c>
      <c r="F90" s="11" t="n">
        <f aca="false">IFERROR(_xlfn.MAXIFS('Custos Fornecedores'!$I$2:$I$55,'Custos Fornecedores'!$B$2:$B$55,$A90,'Custos Fornecedores'!$C$2:$C$55,$B90,'Custos Fornecedores'!$A$2:$A$55,"Alquimia"),0)</f>
        <v>1.196</v>
      </c>
      <c r="G90" s="11" t="n">
        <f aca="false">IF(E90=0,F90,IF(F90=0,E90,MAX(E90,F90)))</f>
        <v>1.76256</v>
      </c>
      <c r="H90" s="10" t="str">
        <f aca="false">IF(AND(E90=0,F90=0),"SEM DADOS",IF(E90=0,"Alquimia (único)",IF(F90=0,"Marfel (único)",IF(E90&gt;=F90,"Marfel","Alquimia"))))</f>
        <v>Marfel</v>
      </c>
      <c r="I90" s="12" t="n">
        <v>0.3</v>
      </c>
      <c r="J90" s="11" t="n">
        <f aca="false">I90*D90</f>
        <v>180</v>
      </c>
      <c r="K90" s="11" t="n">
        <f aca="false">G90+I90</f>
        <v>2.06256</v>
      </c>
      <c r="L90" s="13" t="n">
        <v>0.57</v>
      </c>
      <c r="M90" s="11" t="n">
        <f aca="false">K90*(1+L90)</f>
        <v>3.2382192</v>
      </c>
      <c r="N90" s="12" t="n">
        <v>2.95</v>
      </c>
      <c r="O90" s="11" t="n">
        <f aca="false">M90-N90</f>
        <v>0.288219199999999</v>
      </c>
      <c r="P90" s="14" t="str">
        <f aca="false">IF(ISNUMBER(SEARCH("único",H90)),"Custo disponível de apenas 1 fornecedor para este tamanho — ver aba Inconsistências.","")</f>
        <v/>
      </c>
    </row>
    <row r="91" customFormat="false" ht="15" hidden="false" customHeight="false" outlineLevel="0" collapsed="false">
      <c r="A91" s="9" t="s">
        <v>23</v>
      </c>
      <c r="B91" s="10" t="s">
        <v>30</v>
      </c>
      <c r="C91" s="10" t="s">
        <v>63</v>
      </c>
      <c r="D91" s="10" t="n">
        <v>700</v>
      </c>
      <c r="E91" s="11" t="n">
        <f aca="false">IFERROR(_xlfn.MAXIFS('Custos Fornecedores'!$I$2:$I$55,'Custos Fornecedores'!$B$2:$B$55,$A91,'Custos Fornecedores'!$C$2:$C$55,$B91,'Custos Fornecedores'!$A$2:$A$55,"Marfel"),0)</f>
        <v>1.76256</v>
      </c>
      <c r="F91" s="11" t="n">
        <f aca="false">IFERROR(_xlfn.MAXIFS('Custos Fornecedores'!$I$2:$I$55,'Custos Fornecedores'!$B$2:$B$55,$A91,'Custos Fornecedores'!$C$2:$C$55,$B91,'Custos Fornecedores'!$A$2:$A$55,"Alquimia"),0)</f>
        <v>1.196</v>
      </c>
      <c r="G91" s="11" t="n">
        <f aca="false">IF(E91=0,F91,IF(F91=0,E91,MAX(E91,F91)))</f>
        <v>1.76256</v>
      </c>
      <c r="H91" s="10" t="str">
        <f aca="false">IF(AND(E91=0,F91=0),"SEM DADOS",IF(E91=0,"Alquimia (único)",IF(F91=0,"Marfel (único)",IF(E91&gt;=F91,"Marfel","Alquimia"))))</f>
        <v>Marfel</v>
      </c>
      <c r="I91" s="12" t="n">
        <v>0.3</v>
      </c>
      <c r="J91" s="11" t="n">
        <f aca="false">I91*D91</f>
        <v>210</v>
      </c>
      <c r="K91" s="11" t="n">
        <f aca="false">G91+I91</f>
        <v>2.06256</v>
      </c>
      <c r="L91" s="13" t="n">
        <v>0.54</v>
      </c>
      <c r="M91" s="11" t="n">
        <f aca="false">K91*(1+L91)</f>
        <v>3.1763424</v>
      </c>
      <c r="N91" s="12" t="n">
        <v>2.89</v>
      </c>
      <c r="O91" s="11" t="n">
        <f aca="false">M91-N91</f>
        <v>0.2863424</v>
      </c>
      <c r="P91" s="14" t="str">
        <f aca="false">IF(ISNUMBER(SEARCH("único",H91)),"Custo disponível de apenas 1 fornecedor para este tamanho — ver aba Inconsistências.","")</f>
        <v/>
      </c>
    </row>
    <row r="92" customFormat="false" ht="15" hidden="false" customHeight="false" outlineLevel="0" collapsed="false">
      <c r="A92" s="9" t="s">
        <v>23</v>
      </c>
      <c r="B92" s="10" t="s">
        <v>30</v>
      </c>
      <c r="C92" s="10" t="s">
        <v>64</v>
      </c>
      <c r="D92" s="10" t="n">
        <v>800</v>
      </c>
      <c r="E92" s="11" t="n">
        <f aca="false">IFERROR(_xlfn.MAXIFS('Custos Fornecedores'!$I$2:$I$55,'Custos Fornecedores'!$B$2:$B$55,$A92,'Custos Fornecedores'!$C$2:$C$55,$B92,'Custos Fornecedores'!$A$2:$A$55,"Marfel"),0)</f>
        <v>1.76256</v>
      </c>
      <c r="F92" s="11" t="n">
        <f aca="false">IFERROR(_xlfn.MAXIFS('Custos Fornecedores'!$I$2:$I$55,'Custos Fornecedores'!$B$2:$B$55,$A92,'Custos Fornecedores'!$C$2:$C$55,$B92,'Custos Fornecedores'!$A$2:$A$55,"Alquimia"),0)</f>
        <v>1.196</v>
      </c>
      <c r="G92" s="11" t="n">
        <f aca="false">IF(E92=0,F92,IF(F92=0,E92,MAX(E92,F92)))</f>
        <v>1.76256</v>
      </c>
      <c r="H92" s="10" t="str">
        <f aca="false">IF(AND(E92=0,F92=0),"SEM DADOS",IF(E92=0,"Alquimia (único)",IF(F92=0,"Marfel (único)",IF(E92&gt;=F92,"Marfel","Alquimia"))))</f>
        <v>Marfel</v>
      </c>
      <c r="I92" s="12" t="n">
        <v>0.3</v>
      </c>
      <c r="J92" s="11" t="n">
        <f aca="false">I92*D92</f>
        <v>240</v>
      </c>
      <c r="K92" s="11" t="n">
        <f aca="false">G92+I92</f>
        <v>2.06256</v>
      </c>
      <c r="L92" s="13" t="n">
        <v>0.51</v>
      </c>
      <c r="M92" s="11" t="n">
        <f aca="false">K92*(1+L92)</f>
        <v>3.1144656</v>
      </c>
      <c r="N92" s="12" t="n">
        <v>2.84</v>
      </c>
      <c r="O92" s="11" t="n">
        <f aca="false">M92-N92</f>
        <v>0.2744656</v>
      </c>
      <c r="P92" s="14" t="str">
        <f aca="false">IF(ISNUMBER(SEARCH("único",H92)),"Custo disponível de apenas 1 fornecedor para este tamanho — ver aba Inconsistências.","")</f>
        <v/>
      </c>
    </row>
    <row r="93" customFormat="false" ht="15" hidden="false" customHeight="false" outlineLevel="0" collapsed="false">
      <c r="A93" s="9" t="s">
        <v>23</v>
      </c>
      <c r="B93" s="10" t="s">
        <v>30</v>
      </c>
      <c r="C93" s="10" t="s">
        <v>65</v>
      </c>
      <c r="D93" s="10" t="n">
        <v>900</v>
      </c>
      <c r="E93" s="11" t="n">
        <f aca="false">IFERROR(_xlfn.MAXIFS('Custos Fornecedores'!$I$2:$I$55,'Custos Fornecedores'!$B$2:$B$55,$A93,'Custos Fornecedores'!$C$2:$C$55,$B93,'Custos Fornecedores'!$A$2:$A$55,"Marfel"),0)</f>
        <v>1.76256</v>
      </c>
      <c r="F93" s="11" t="n">
        <f aca="false">IFERROR(_xlfn.MAXIFS('Custos Fornecedores'!$I$2:$I$55,'Custos Fornecedores'!$B$2:$B$55,$A93,'Custos Fornecedores'!$C$2:$C$55,$B93,'Custos Fornecedores'!$A$2:$A$55,"Alquimia"),0)</f>
        <v>1.196</v>
      </c>
      <c r="G93" s="11" t="n">
        <f aca="false">IF(E93=0,F93,IF(F93=0,E93,MAX(E93,F93)))</f>
        <v>1.76256</v>
      </c>
      <c r="H93" s="10" t="str">
        <f aca="false">IF(AND(E93=0,F93=0),"SEM DADOS",IF(E93=0,"Alquimia (único)",IF(F93=0,"Marfel (único)",IF(E93&gt;=F93,"Marfel","Alquimia"))))</f>
        <v>Marfel</v>
      </c>
      <c r="I93" s="12" t="n">
        <v>0.3</v>
      </c>
      <c r="J93" s="11" t="n">
        <f aca="false">I93*D93</f>
        <v>270</v>
      </c>
      <c r="K93" s="11" t="n">
        <f aca="false">G93+I93</f>
        <v>2.06256</v>
      </c>
      <c r="L93" s="13" t="n">
        <v>0.48</v>
      </c>
      <c r="M93" s="11" t="n">
        <f aca="false">K93*(1+L93)</f>
        <v>3.0525888</v>
      </c>
      <c r="N93" s="12" t="n">
        <v>2.78</v>
      </c>
      <c r="O93" s="11" t="n">
        <f aca="false">M93-N93</f>
        <v>0.2725888</v>
      </c>
      <c r="P93" s="14" t="str">
        <f aca="false">IF(ISNUMBER(SEARCH("único",H93)),"Custo disponível de apenas 1 fornecedor para este tamanho — ver aba Inconsistências.","")</f>
        <v/>
      </c>
    </row>
    <row r="94" customFormat="false" ht="15" hidden="false" customHeight="false" outlineLevel="0" collapsed="false">
      <c r="A94" s="9" t="s">
        <v>23</v>
      </c>
      <c r="B94" s="10" t="s">
        <v>30</v>
      </c>
      <c r="C94" s="10" t="s">
        <v>66</v>
      </c>
      <c r="D94" s="10" t="n">
        <v>1000</v>
      </c>
      <c r="E94" s="11" t="n">
        <f aca="false">IFERROR(_xlfn.MAXIFS('Custos Fornecedores'!$I$2:$I$55,'Custos Fornecedores'!$B$2:$B$55,$A94,'Custos Fornecedores'!$C$2:$C$55,$B94,'Custos Fornecedores'!$A$2:$A$55,"Marfel"),0)</f>
        <v>1.76256</v>
      </c>
      <c r="F94" s="11" t="n">
        <f aca="false">IFERROR(_xlfn.MAXIFS('Custos Fornecedores'!$I$2:$I$55,'Custos Fornecedores'!$B$2:$B$55,$A94,'Custos Fornecedores'!$C$2:$C$55,$B94,'Custos Fornecedores'!$A$2:$A$55,"Alquimia"),0)</f>
        <v>1.196</v>
      </c>
      <c r="G94" s="11" t="n">
        <f aca="false">IF(E94=0,F94,IF(F94=0,E94,MAX(E94,F94)))</f>
        <v>1.76256</v>
      </c>
      <c r="H94" s="10" t="str">
        <f aca="false">IF(AND(E94=0,F94=0),"SEM DADOS",IF(E94=0,"Alquimia (único)",IF(F94=0,"Marfel (único)",IF(E94&gt;=F94,"Marfel","Alquimia"))))</f>
        <v>Marfel</v>
      </c>
      <c r="I94" s="12" t="n">
        <v>0.3</v>
      </c>
      <c r="J94" s="11" t="n">
        <f aca="false">I94*D94</f>
        <v>300</v>
      </c>
      <c r="K94" s="11" t="n">
        <f aca="false">G94+I94</f>
        <v>2.06256</v>
      </c>
      <c r="L94" s="13" t="n">
        <v>0.4</v>
      </c>
      <c r="M94" s="11" t="n">
        <f aca="false">K94*(1+L94)</f>
        <v>2.887584</v>
      </c>
      <c r="N94" s="12" t="n">
        <v>2.63</v>
      </c>
      <c r="O94" s="11" t="n">
        <f aca="false">M94-N94</f>
        <v>0.257584</v>
      </c>
      <c r="P94" s="14" t="str">
        <f aca="false">IF(ISNUMBER(SEARCH("único",H94)),"Custo disponível de apenas 1 fornecedor para este tamanho — ver aba Inconsistências.","")</f>
        <v/>
      </c>
    </row>
    <row r="95" customFormat="false" ht="15" hidden="false" customHeight="false" outlineLevel="0" collapsed="false">
      <c r="A95" s="9" t="s">
        <v>31</v>
      </c>
      <c r="B95" s="10" t="s">
        <v>32</v>
      </c>
      <c r="C95" s="10" t="s">
        <v>57</v>
      </c>
      <c r="D95" s="10" t="n">
        <v>100</v>
      </c>
      <c r="E95" s="11" t="n">
        <f aca="false">IFERROR(_xlfn.MAXIFS('Custos Fornecedores'!$I$2:$I$55,'Custos Fornecedores'!$B$2:$B$55,$A95,'Custos Fornecedores'!$C$2:$C$55,$B95,'Custos Fornecedores'!$A$2:$A$55,"Marfel"),0)</f>
        <v>0.171</v>
      </c>
      <c r="F95" s="11" t="n">
        <f aca="false">IFERROR(_xlfn.MAXIFS('Custos Fornecedores'!$I$2:$I$55,'Custos Fornecedores'!$B$2:$B$55,$A95,'Custos Fornecedores'!$C$2:$C$55,$B95,'Custos Fornecedores'!$A$2:$A$55,"Alquimia"),0)</f>
        <v>0.1219</v>
      </c>
      <c r="G95" s="11" t="n">
        <f aca="false">IF(E95=0,F95,IF(F95=0,E95,MAX(E95,F95)))</f>
        <v>0.171</v>
      </c>
      <c r="H95" s="10" t="str">
        <f aca="false">IF(AND(E95=0,F95=0),"SEM DADOS",IF(E95=0,"Alquimia (único)",IF(F95=0,"Marfel (único)",IF(E95&gt;=F95,"Marfel","Alquimia"))))</f>
        <v>Marfel</v>
      </c>
      <c r="I95" s="12" t="n">
        <v>0.3</v>
      </c>
      <c r="J95" s="11" t="n">
        <f aca="false">I95*D95</f>
        <v>30</v>
      </c>
      <c r="K95" s="11" t="n">
        <f aca="false">G95+I95</f>
        <v>0.471</v>
      </c>
      <c r="L95" s="13" t="n">
        <v>1</v>
      </c>
      <c r="M95" s="11" t="n">
        <f aca="false">K95*(1+L95)</f>
        <v>0.942</v>
      </c>
      <c r="N95" s="12" t="n">
        <v>0.94</v>
      </c>
      <c r="O95" s="11" t="n">
        <f aca="false">M95-N95</f>
        <v>0.002</v>
      </c>
      <c r="P95" s="14" t="str">
        <f aca="false">IF(ISNUMBER(SEARCH("único",H95)),"Custo disponível de apenas 1 fornecedor para este tamanho — ver aba Inconsistências.","")</f>
        <v/>
      </c>
    </row>
    <row r="96" customFormat="false" ht="15" hidden="false" customHeight="false" outlineLevel="0" collapsed="false">
      <c r="A96" s="9" t="s">
        <v>31</v>
      </c>
      <c r="B96" s="10" t="s">
        <v>32</v>
      </c>
      <c r="C96" s="10" t="s">
        <v>58</v>
      </c>
      <c r="D96" s="10" t="n">
        <v>200</v>
      </c>
      <c r="E96" s="11" t="n">
        <f aca="false">IFERROR(_xlfn.MAXIFS('Custos Fornecedores'!$I$2:$I$55,'Custos Fornecedores'!$B$2:$B$55,$A96,'Custos Fornecedores'!$C$2:$C$55,$B96,'Custos Fornecedores'!$A$2:$A$55,"Marfel"),0)</f>
        <v>0.171</v>
      </c>
      <c r="F96" s="11" t="n">
        <f aca="false">IFERROR(_xlfn.MAXIFS('Custos Fornecedores'!$I$2:$I$55,'Custos Fornecedores'!$B$2:$B$55,$A96,'Custos Fornecedores'!$C$2:$C$55,$B96,'Custos Fornecedores'!$A$2:$A$55,"Alquimia"),0)</f>
        <v>0.1219</v>
      </c>
      <c r="G96" s="11" t="n">
        <f aca="false">IF(E96=0,F96,IF(F96=0,E96,MAX(E96,F96)))</f>
        <v>0.171</v>
      </c>
      <c r="H96" s="10" t="str">
        <f aca="false">IF(AND(E96=0,F96=0),"SEM DADOS",IF(E96=0,"Alquimia (único)",IF(F96=0,"Marfel (único)",IF(E96&gt;=F96,"Marfel","Alquimia"))))</f>
        <v>Marfel</v>
      </c>
      <c r="I96" s="12" t="n">
        <v>0.3</v>
      </c>
      <c r="J96" s="11" t="n">
        <f aca="false">I96*D96</f>
        <v>60</v>
      </c>
      <c r="K96" s="11" t="n">
        <f aca="false">G96+I96</f>
        <v>0.471</v>
      </c>
      <c r="L96" s="13" t="n">
        <v>0.75</v>
      </c>
      <c r="M96" s="11" t="n">
        <f aca="false">K96*(1+L96)</f>
        <v>0.82425</v>
      </c>
      <c r="N96" s="12" t="n">
        <v>0.82</v>
      </c>
      <c r="O96" s="11" t="n">
        <f aca="false">M96-N96</f>
        <v>0.00424999999999998</v>
      </c>
      <c r="P96" s="14" t="str">
        <f aca="false">IF(ISNUMBER(SEARCH("único",H96)),"Custo disponível de apenas 1 fornecedor para este tamanho — ver aba Inconsistências.","")</f>
        <v/>
      </c>
    </row>
    <row r="97" customFormat="false" ht="15" hidden="false" customHeight="false" outlineLevel="0" collapsed="false">
      <c r="A97" s="9" t="s">
        <v>31</v>
      </c>
      <c r="B97" s="10" t="s">
        <v>32</v>
      </c>
      <c r="C97" s="10" t="s">
        <v>59</v>
      </c>
      <c r="D97" s="10" t="n">
        <v>300</v>
      </c>
      <c r="E97" s="11" t="n">
        <f aca="false">IFERROR(_xlfn.MAXIFS('Custos Fornecedores'!$I$2:$I$55,'Custos Fornecedores'!$B$2:$B$55,$A97,'Custos Fornecedores'!$C$2:$C$55,$B97,'Custos Fornecedores'!$A$2:$A$55,"Marfel"),0)</f>
        <v>0.171</v>
      </c>
      <c r="F97" s="11" t="n">
        <f aca="false">IFERROR(_xlfn.MAXIFS('Custos Fornecedores'!$I$2:$I$55,'Custos Fornecedores'!$B$2:$B$55,$A97,'Custos Fornecedores'!$C$2:$C$55,$B97,'Custos Fornecedores'!$A$2:$A$55,"Alquimia"),0)</f>
        <v>0.1219</v>
      </c>
      <c r="G97" s="11" t="n">
        <f aca="false">IF(E97=0,F97,IF(F97=0,E97,MAX(E97,F97)))</f>
        <v>0.171</v>
      </c>
      <c r="H97" s="10" t="str">
        <f aca="false">IF(AND(E97=0,F97=0),"SEM DADOS",IF(E97=0,"Alquimia (único)",IF(F97=0,"Marfel (único)",IF(E97&gt;=F97,"Marfel","Alquimia"))))</f>
        <v>Marfel</v>
      </c>
      <c r="I97" s="12" t="n">
        <v>0.3</v>
      </c>
      <c r="J97" s="11" t="n">
        <f aca="false">I97*D97</f>
        <v>90</v>
      </c>
      <c r="K97" s="11" t="n">
        <f aca="false">G97+I97</f>
        <v>0.471</v>
      </c>
      <c r="L97" s="13" t="n">
        <v>0.7</v>
      </c>
      <c r="M97" s="11" t="n">
        <f aca="false">K97*(1+L97)</f>
        <v>0.8007</v>
      </c>
      <c r="N97" s="12" t="n">
        <v>0.8</v>
      </c>
      <c r="O97" s="11" t="n">
        <f aca="false">M97-N97</f>
        <v>0.000699999999999923</v>
      </c>
      <c r="P97" s="14" t="str">
        <f aca="false">IF(ISNUMBER(SEARCH("único",H97)),"Custo disponível de apenas 1 fornecedor para este tamanho — ver aba Inconsistências.","")</f>
        <v/>
      </c>
    </row>
    <row r="98" customFormat="false" ht="15" hidden="false" customHeight="false" outlineLevel="0" collapsed="false">
      <c r="A98" s="9" t="s">
        <v>31</v>
      </c>
      <c r="B98" s="10" t="s">
        <v>32</v>
      </c>
      <c r="C98" s="10" t="s">
        <v>60</v>
      </c>
      <c r="D98" s="10" t="n">
        <v>400</v>
      </c>
      <c r="E98" s="11" t="n">
        <f aca="false">IFERROR(_xlfn.MAXIFS('Custos Fornecedores'!$I$2:$I$55,'Custos Fornecedores'!$B$2:$B$55,$A98,'Custos Fornecedores'!$C$2:$C$55,$B98,'Custos Fornecedores'!$A$2:$A$55,"Marfel"),0)</f>
        <v>0.171</v>
      </c>
      <c r="F98" s="11" t="n">
        <f aca="false">IFERROR(_xlfn.MAXIFS('Custos Fornecedores'!$I$2:$I$55,'Custos Fornecedores'!$B$2:$B$55,$A98,'Custos Fornecedores'!$C$2:$C$55,$B98,'Custos Fornecedores'!$A$2:$A$55,"Alquimia"),0)</f>
        <v>0.1219</v>
      </c>
      <c r="G98" s="11" t="n">
        <f aca="false">IF(E98=0,F98,IF(F98=0,E98,MAX(E98,F98)))</f>
        <v>0.171</v>
      </c>
      <c r="H98" s="10" t="str">
        <f aca="false">IF(AND(E98=0,F98=0),"SEM DADOS",IF(E98=0,"Alquimia (único)",IF(F98=0,"Marfel (único)",IF(E98&gt;=F98,"Marfel","Alquimia"))))</f>
        <v>Marfel</v>
      </c>
      <c r="I98" s="12" t="n">
        <v>0.3</v>
      </c>
      <c r="J98" s="11" t="n">
        <f aca="false">I98*D98</f>
        <v>120</v>
      </c>
      <c r="K98" s="11" t="n">
        <f aca="false">G98+I98</f>
        <v>0.471</v>
      </c>
      <c r="L98" s="13" t="n">
        <v>0.65</v>
      </c>
      <c r="M98" s="11" t="n">
        <f aca="false">K98*(1+L98)</f>
        <v>0.77715</v>
      </c>
      <c r="N98" s="12" t="n">
        <v>0.78</v>
      </c>
      <c r="O98" s="11" t="n">
        <f aca="false">M98-N98</f>
        <v>-0.00285000000000013</v>
      </c>
      <c r="P98" s="14" t="str">
        <f aca="false">IF(ISNUMBER(SEARCH("único",H98)),"Custo disponível de apenas 1 fornecedor para este tamanho — ver aba Inconsistências.","")</f>
        <v/>
      </c>
    </row>
    <row r="99" customFormat="false" ht="15" hidden="false" customHeight="false" outlineLevel="0" collapsed="false">
      <c r="A99" s="9" t="s">
        <v>31</v>
      </c>
      <c r="B99" s="10" t="s">
        <v>32</v>
      </c>
      <c r="C99" s="10" t="s">
        <v>61</v>
      </c>
      <c r="D99" s="10" t="n">
        <v>500</v>
      </c>
      <c r="E99" s="11" t="n">
        <f aca="false">IFERROR(_xlfn.MAXIFS('Custos Fornecedores'!$I$2:$I$55,'Custos Fornecedores'!$B$2:$B$55,$A99,'Custos Fornecedores'!$C$2:$C$55,$B99,'Custos Fornecedores'!$A$2:$A$55,"Marfel"),0)</f>
        <v>0.171</v>
      </c>
      <c r="F99" s="11" t="n">
        <f aca="false">IFERROR(_xlfn.MAXIFS('Custos Fornecedores'!$I$2:$I$55,'Custos Fornecedores'!$B$2:$B$55,$A99,'Custos Fornecedores'!$C$2:$C$55,$B99,'Custos Fornecedores'!$A$2:$A$55,"Alquimia"),0)</f>
        <v>0.1219</v>
      </c>
      <c r="G99" s="11" t="n">
        <f aca="false">IF(E99=0,F99,IF(F99=0,E99,MAX(E99,F99)))</f>
        <v>0.171</v>
      </c>
      <c r="H99" s="10" t="str">
        <f aca="false">IF(AND(E99=0,F99=0),"SEM DADOS",IF(E99=0,"Alquimia (único)",IF(F99=0,"Marfel (único)",IF(E99&gt;=F99,"Marfel","Alquimia"))))</f>
        <v>Marfel</v>
      </c>
      <c r="I99" s="12" t="n">
        <v>0.3</v>
      </c>
      <c r="J99" s="11" t="n">
        <f aca="false">I99*D99</f>
        <v>150</v>
      </c>
      <c r="K99" s="11" t="n">
        <f aca="false">G99+I99</f>
        <v>0.471</v>
      </c>
      <c r="L99" s="13" t="n">
        <v>0.6</v>
      </c>
      <c r="M99" s="11" t="n">
        <f aca="false">K99*(1+L99)</f>
        <v>0.7536</v>
      </c>
      <c r="N99" s="12" t="n">
        <v>0.75</v>
      </c>
      <c r="O99" s="11" t="n">
        <f aca="false">M99-N99</f>
        <v>0.00360000000000005</v>
      </c>
      <c r="P99" s="14" t="str">
        <f aca="false">IF(ISNUMBER(SEARCH("único",H99)),"Custo disponível de apenas 1 fornecedor para este tamanho — ver aba Inconsistências.","")</f>
        <v/>
      </c>
    </row>
    <row r="100" customFormat="false" ht="15" hidden="false" customHeight="false" outlineLevel="0" collapsed="false">
      <c r="A100" s="9" t="s">
        <v>31</v>
      </c>
      <c r="B100" s="10" t="s">
        <v>32</v>
      </c>
      <c r="C100" s="10" t="s">
        <v>62</v>
      </c>
      <c r="D100" s="10" t="n">
        <v>600</v>
      </c>
      <c r="E100" s="11" t="n">
        <f aca="false">IFERROR(_xlfn.MAXIFS('Custos Fornecedores'!$I$2:$I$55,'Custos Fornecedores'!$B$2:$B$55,$A100,'Custos Fornecedores'!$C$2:$C$55,$B100,'Custos Fornecedores'!$A$2:$A$55,"Marfel"),0)</f>
        <v>0.171</v>
      </c>
      <c r="F100" s="11" t="n">
        <f aca="false">IFERROR(_xlfn.MAXIFS('Custos Fornecedores'!$I$2:$I$55,'Custos Fornecedores'!$B$2:$B$55,$A100,'Custos Fornecedores'!$C$2:$C$55,$B100,'Custos Fornecedores'!$A$2:$A$55,"Alquimia"),0)</f>
        <v>0.1219</v>
      </c>
      <c r="G100" s="11" t="n">
        <f aca="false">IF(E100=0,F100,IF(F100=0,E100,MAX(E100,F100)))</f>
        <v>0.171</v>
      </c>
      <c r="H100" s="10" t="str">
        <f aca="false">IF(AND(E100=0,F100=0),"SEM DADOS",IF(E100=0,"Alquimia (único)",IF(F100=0,"Marfel (único)",IF(E100&gt;=F100,"Marfel","Alquimia"))))</f>
        <v>Marfel</v>
      </c>
      <c r="I100" s="12" t="n">
        <v>0.3</v>
      </c>
      <c r="J100" s="11" t="n">
        <f aca="false">I100*D100</f>
        <v>180</v>
      </c>
      <c r="K100" s="11" t="n">
        <f aca="false">G100+I100</f>
        <v>0.471</v>
      </c>
      <c r="L100" s="13" t="n">
        <v>0.57</v>
      </c>
      <c r="M100" s="11" t="n">
        <f aca="false">K100*(1+L100)</f>
        <v>0.73947</v>
      </c>
      <c r="N100" s="12" t="n">
        <v>0.74</v>
      </c>
      <c r="O100" s="11" t="n">
        <f aca="false">M100-N100</f>
        <v>-0.000530000000000142</v>
      </c>
      <c r="P100" s="14" t="str">
        <f aca="false">IF(ISNUMBER(SEARCH("único",H100)),"Custo disponível de apenas 1 fornecedor para este tamanho — ver aba Inconsistências.","")</f>
        <v/>
      </c>
    </row>
    <row r="101" customFormat="false" ht="15" hidden="false" customHeight="false" outlineLevel="0" collapsed="false">
      <c r="A101" s="9" t="s">
        <v>31</v>
      </c>
      <c r="B101" s="10" t="s">
        <v>32</v>
      </c>
      <c r="C101" s="10" t="s">
        <v>63</v>
      </c>
      <c r="D101" s="10" t="n">
        <v>700</v>
      </c>
      <c r="E101" s="11" t="n">
        <f aca="false">IFERROR(_xlfn.MAXIFS('Custos Fornecedores'!$I$2:$I$55,'Custos Fornecedores'!$B$2:$B$55,$A101,'Custos Fornecedores'!$C$2:$C$55,$B101,'Custos Fornecedores'!$A$2:$A$55,"Marfel"),0)</f>
        <v>0.171</v>
      </c>
      <c r="F101" s="11" t="n">
        <f aca="false">IFERROR(_xlfn.MAXIFS('Custos Fornecedores'!$I$2:$I$55,'Custos Fornecedores'!$B$2:$B$55,$A101,'Custos Fornecedores'!$C$2:$C$55,$B101,'Custos Fornecedores'!$A$2:$A$55,"Alquimia"),0)</f>
        <v>0.1219</v>
      </c>
      <c r="G101" s="11" t="n">
        <f aca="false">IF(E101=0,F101,IF(F101=0,E101,MAX(E101,F101)))</f>
        <v>0.171</v>
      </c>
      <c r="H101" s="10" t="str">
        <f aca="false">IF(AND(E101=0,F101=0),"SEM DADOS",IF(E101=0,"Alquimia (único)",IF(F101=0,"Marfel (único)",IF(E101&gt;=F101,"Marfel","Alquimia"))))</f>
        <v>Marfel</v>
      </c>
      <c r="I101" s="12" t="n">
        <v>0.3</v>
      </c>
      <c r="J101" s="11" t="n">
        <f aca="false">I101*D101</f>
        <v>210</v>
      </c>
      <c r="K101" s="11" t="n">
        <f aca="false">G101+I101</f>
        <v>0.471</v>
      </c>
      <c r="L101" s="13" t="n">
        <v>0.54</v>
      </c>
      <c r="M101" s="11" t="n">
        <f aca="false">K101*(1+L101)</f>
        <v>0.72534</v>
      </c>
      <c r="N101" s="12" t="n">
        <v>0.73</v>
      </c>
      <c r="O101" s="11" t="n">
        <f aca="false">M101-N101</f>
        <v>-0.00466</v>
      </c>
      <c r="P101" s="14" t="str">
        <f aca="false">IF(ISNUMBER(SEARCH("único",H101)),"Custo disponível de apenas 1 fornecedor para este tamanho — ver aba Inconsistências.","")</f>
        <v/>
      </c>
    </row>
    <row r="102" customFormat="false" ht="15" hidden="false" customHeight="false" outlineLevel="0" collapsed="false">
      <c r="A102" s="9" t="s">
        <v>31</v>
      </c>
      <c r="B102" s="10" t="s">
        <v>32</v>
      </c>
      <c r="C102" s="10" t="s">
        <v>64</v>
      </c>
      <c r="D102" s="10" t="n">
        <v>800</v>
      </c>
      <c r="E102" s="11" t="n">
        <f aca="false">IFERROR(_xlfn.MAXIFS('Custos Fornecedores'!$I$2:$I$55,'Custos Fornecedores'!$B$2:$B$55,$A102,'Custos Fornecedores'!$C$2:$C$55,$B102,'Custos Fornecedores'!$A$2:$A$55,"Marfel"),0)</f>
        <v>0.171</v>
      </c>
      <c r="F102" s="11" t="n">
        <f aca="false">IFERROR(_xlfn.MAXIFS('Custos Fornecedores'!$I$2:$I$55,'Custos Fornecedores'!$B$2:$B$55,$A102,'Custos Fornecedores'!$C$2:$C$55,$B102,'Custos Fornecedores'!$A$2:$A$55,"Alquimia"),0)</f>
        <v>0.1219</v>
      </c>
      <c r="G102" s="11" t="n">
        <f aca="false">IF(E102=0,F102,IF(F102=0,E102,MAX(E102,F102)))</f>
        <v>0.171</v>
      </c>
      <c r="H102" s="10" t="str">
        <f aca="false">IF(AND(E102=0,F102=0),"SEM DADOS",IF(E102=0,"Alquimia (único)",IF(F102=0,"Marfel (único)",IF(E102&gt;=F102,"Marfel","Alquimia"))))</f>
        <v>Marfel</v>
      </c>
      <c r="I102" s="12" t="n">
        <v>0.3</v>
      </c>
      <c r="J102" s="11" t="n">
        <f aca="false">I102*D102</f>
        <v>240</v>
      </c>
      <c r="K102" s="11" t="n">
        <f aca="false">G102+I102</f>
        <v>0.471</v>
      </c>
      <c r="L102" s="13" t="n">
        <v>0.51</v>
      </c>
      <c r="M102" s="11" t="n">
        <f aca="false">K102*(1+L102)</f>
        <v>0.71121</v>
      </c>
      <c r="N102" s="12" t="n">
        <v>0.71</v>
      </c>
      <c r="O102" s="11" t="n">
        <f aca="false">M102-N102</f>
        <v>0.00121000000000004</v>
      </c>
      <c r="P102" s="14" t="str">
        <f aca="false">IF(ISNUMBER(SEARCH("único",H102)),"Custo disponível de apenas 1 fornecedor para este tamanho — ver aba Inconsistências.","")</f>
        <v/>
      </c>
    </row>
    <row r="103" customFormat="false" ht="15" hidden="false" customHeight="false" outlineLevel="0" collapsed="false">
      <c r="A103" s="9" t="s">
        <v>31</v>
      </c>
      <c r="B103" s="10" t="s">
        <v>32</v>
      </c>
      <c r="C103" s="10" t="s">
        <v>65</v>
      </c>
      <c r="D103" s="10" t="n">
        <v>900</v>
      </c>
      <c r="E103" s="11" t="n">
        <f aca="false">IFERROR(_xlfn.MAXIFS('Custos Fornecedores'!$I$2:$I$55,'Custos Fornecedores'!$B$2:$B$55,$A103,'Custos Fornecedores'!$C$2:$C$55,$B103,'Custos Fornecedores'!$A$2:$A$55,"Marfel"),0)</f>
        <v>0.171</v>
      </c>
      <c r="F103" s="11" t="n">
        <f aca="false">IFERROR(_xlfn.MAXIFS('Custos Fornecedores'!$I$2:$I$55,'Custos Fornecedores'!$B$2:$B$55,$A103,'Custos Fornecedores'!$C$2:$C$55,$B103,'Custos Fornecedores'!$A$2:$A$55,"Alquimia"),0)</f>
        <v>0.1219</v>
      </c>
      <c r="G103" s="11" t="n">
        <f aca="false">IF(E103=0,F103,IF(F103=0,E103,MAX(E103,F103)))</f>
        <v>0.171</v>
      </c>
      <c r="H103" s="10" t="str">
        <f aca="false">IF(AND(E103=0,F103=0),"SEM DADOS",IF(E103=0,"Alquimia (único)",IF(F103=0,"Marfel (único)",IF(E103&gt;=F103,"Marfel","Alquimia"))))</f>
        <v>Marfel</v>
      </c>
      <c r="I103" s="12" t="n">
        <v>0.3</v>
      </c>
      <c r="J103" s="11" t="n">
        <f aca="false">I103*D103</f>
        <v>270</v>
      </c>
      <c r="K103" s="11" t="n">
        <f aca="false">G103+I103</f>
        <v>0.471</v>
      </c>
      <c r="L103" s="13" t="n">
        <v>0.48</v>
      </c>
      <c r="M103" s="11" t="n">
        <f aca="false">K103*(1+L103)</f>
        <v>0.69708</v>
      </c>
      <c r="N103" s="12" t="n">
        <v>0.7</v>
      </c>
      <c r="O103" s="11" t="n">
        <f aca="false">M103-N103</f>
        <v>-0.00292000000000003</v>
      </c>
      <c r="P103" s="14" t="str">
        <f aca="false">IF(ISNUMBER(SEARCH("único",H103)),"Custo disponível de apenas 1 fornecedor para este tamanho — ver aba Inconsistências.","")</f>
        <v/>
      </c>
    </row>
    <row r="104" customFormat="false" ht="15" hidden="false" customHeight="false" outlineLevel="0" collapsed="false">
      <c r="A104" s="9" t="s">
        <v>31</v>
      </c>
      <c r="B104" s="10" t="s">
        <v>32</v>
      </c>
      <c r="C104" s="10" t="s">
        <v>66</v>
      </c>
      <c r="D104" s="10" t="n">
        <v>1000</v>
      </c>
      <c r="E104" s="11" t="n">
        <f aca="false">IFERROR(_xlfn.MAXIFS('Custos Fornecedores'!$I$2:$I$55,'Custos Fornecedores'!$B$2:$B$55,$A104,'Custos Fornecedores'!$C$2:$C$55,$B104,'Custos Fornecedores'!$A$2:$A$55,"Marfel"),0)</f>
        <v>0.171</v>
      </c>
      <c r="F104" s="11" t="n">
        <f aca="false">IFERROR(_xlfn.MAXIFS('Custos Fornecedores'!$I$2:$I$55,'Custos Fornecedores'!$B$2:$B$55,$A104,'Custos Fornecedores'!$C$2:$C$55,$B104,'Custos Fornecedores'!$A$2:$A$55,"Alquimia"),0)</f>
        <v>0.1219</v>
      </c>
      <c r="G104" s="11" t="n">
        <f aca="false">IF(E104=0,F104,IF(F104=0,E104,MAX(E104,F104)))</f>
        <v>0.171</v>
      </c>
      <c r="H104" s="10" t="str">
        <f aca="false">IF(AND(E104=0,F104=0),"SEM DADOS",IF(E104=0,"Alquimia (único)",IF(F104=0,"Marfel (único)",IF(E104&gt;=F104,"Marfel","Alquimia"))))</f>
        <v>Marfel</v>
      </c>
      <c r="I104" s="12" t="n">
        <v>0.3</v>
      </c>
      <c r="J104" s="11" t="n">
        <f aca="false">I104*D104</f>
        <v>300</v>
      </c>
      <c r="K104" s="11" t="n">
        <f aca="false">G104+I104</f>
        <v>0.471</v>
      </c>
      <c r="L104" s="13" t="n">
        <v>0.4</v>
      </c>
      <c r="M104" s="11" t="n">
        <f aca="false">K104*(1+L104)</f>
        <v>0.6594</v>
      </c>
      <c r="N104" s="12" t="n">
        <v>0.66</v>
      </c>
      <c r="O104" s="11" t="n">
        <f aca="false">M104-N104</f>
        <v>-0.000600000000000156</v>
      </c>
      <c r="P104" s="14" t="str">
        <f aca="false">IF(ISNUMBER(SEARCH("único",H104)),"Custo disponível de apenas 1 fornecedor para este tamanho — ver aba Inconsistências.","")</f>
        <v/>
      </c>
    </row>
    <row r="105" customFormat="false" ht="15" hidden="false" customHeight="false" outlineLevel="0" collapsed="false">
      <c r="A105" s="9" t="s">
        <v>31</v>
      </c>
      <c r="B105" s="10" t="s">
        <v>34</v>
      </c>
      <c r="C105" s="10" t="s">
        <v>57</v>
      </c>
      <c r="D105" s="10" t="n">
        <v>100</v>
      </c>
      <c r="E105" s="11" t="n">
        <f aca="false">IFERROR(_xlfn.MAXIFS('Custos Fornecedores'!$I$2:$I$55,'Custos Fornecedores'!$B$2:$B$55,$A105,'Custos Fornecedores'!$C$2:$C$55,$B105,'Custos Fornecedores'!$A$2:$A$55,"Marfel"),0)</f>
        <v>0.2394</v>
      </c>
      <c r="F105" s="11" t="n">
        <f aca="false">IFERROR(_xlfn.MAXIFS('Custos Fornecedores'!$I$2:$I$55,'Custos Fornecedores'!$B$2:$B$55,$A105,'Custos Fornecedores'!$C$2:$C$55,$B105,'Custos Fornecedores'!$A$2:$A$55,"Alquimia"),0)</f>
        <v>0.1855</v>
      </c>
      <c r="G105" s="11" t="n">
        <f aca="false">IF(E105=0,F105,IF(F105=0,E105,MAX(E105,F105)))</f>
        <v>0.2394</v>
      </c>
      <c r="H105" s="10" t="str">
        <f aca="false">IF(AND(E105=0,F105=0),"SEM DADOS",IF(E105=0,"Alquimia (único)",IF(F105=0,"Marfel (único)",IF(E105&gt;=F105,"Marfel","Alquimia"))))</f>
        <v>Marfel</v>
      </c>
      <c r="I105" s="12" t="n">
        <v>0.3</v>
      </c>
      <c r="J105" s="11" t="n">
        <f aca="false">I105*D105</f>
        <v>30</v>
      </c>
      <c r="K105" s="11" t="n">
        <f aca="false">G105+I105</f>
        <v>0.5394</v>
      </c>
      <c r="L105" s="13" t="n">
        <v>1</v>
      </c>
      <c r="M105" s="11" t="n">
        <f aca="false">K105*(1+L105)</f>
        <v>1.0788</v>
      </c>
      <c r="N105" s="12" t="n">
        <v>1.08</v>
      </c>
      <c r="O105" s="11" t="n">
        <f aca="false">M105-N105</f>
        <v>-0.00120000000000009</v>
      </c>
      <c r="P105" s="14" t="str">
        <f aca="false">IF(ISNUMBER(SEARCH("único",H105)),"Custo disponível de apenas 1 fornecedor para este tamanho — ver aba Inconsistências.","")</f>
        <v/>
      </c>
    </row>
    <row r="106" customFormat="false" ht="15" hidden="false" customHeight="false" outlineLevel="0" collapsed="false">
      <c r="A106" s="9" t="s">
        <v>31</v>
      </c>
      <c r="B106" s="10" t="s">
        <v>34</v>
      </c>
      <c r="C106" s="10" t="s">
        <v>58</v>
      </c>
      <c r="D106" s="10" t="n">
        <v>200</v>
      </c>
      <c r="E106" s="11" t="n">
        <f aca="false">IFERROR(_xlfn.MAXIFS('Custos Fornecedores'!$I$2:$I$55,'Custos Fornecedores'!$B$2:$B$55,$A106,'Custos Fornecedores'!$C$2:$C$55,$B106,'Custos Fornecedores'!$A$2:$A$55,"Marfel"),0)</f>
        <v>0.2394</v>
      </c>
      <c r="F106" s="11" t="n">
        <f aca="false">IFERROR(_xlfn.MAXIFS('Custos Fornecedores'!$I$2:$I$55,'Custos Fornecedores'!$B$2:$B$55,$A106,'Custos Fornecedores'!$C$2:$C$55,$B106,'Custos Fornecedores'!$A$2:$A$55,"Alquimia"),0)</f>
        <v>0.1855</v>
      </c>
      <c r="G106" s="11" t="n">
        <f aca="false">IF(E106=0,F106,IF(F106=0,E106,MAX(E106,F106)))</f>
        <v>0.2394</v>
      </c>
      <c r="H106" s="10" t="str">
        <f aca="false">IF(AND(E106=0,F106=0),"SEM DADOS",IF(E106=0,"Alquimia (único)",IF(F106=0,"Marfel (único)",IF(E106&gt;=F106,"Marfel","Alquimia"))))</f>
        <v>Marfel</v>
      </c>
      <c r="I106" s="12" t="n">
        <v>0.3</v>
      </c>
      <c r="J106" s="11" t="n">
        <f aca="false">I106*D106</f>
        <v>60</v>
      </c>
      <c r="K106" s="11" t="n">
        <f aca="false">G106+I106</f>
        <v>0.5394</v>
      </c>
      <c r="L106" s="13" t="n">
        <v>0.75</v>
      </c>
      <c r="M106" s="11" t="n">
        <f aca="false">K106*(1+L106)</f>
        <v>0.94395</v>
      </c>
      <c r="N106" s="12" t="n">
        <v>0.94</v>
      </c>
      <c r="O106" s="11" t="n">
        <f aca="false">M106-N106</f>
        <v>0.00395000000000001</v>
      </c>
      <c r="P106" s="14" t="str">
        <f aca="false">IF(ISNUMBER(SEARCH("único",H106)),"Custo disponível de apenas 1 fornecedor para este tamanho — ver aba Inconsistências.","")</f>
        <v/>
      </c>
    </row>
    <row r="107" customFormat="false" ht="15" hidden="false" customHeight="false" outlineLevel="0" collapsed="false">
      <c r="A107" s="9" t="s">
        <v>31</v>
      </c>
      <c r="B107" s="10" t="s">
        <v>34</v>
      </c>
      <c r="C107" s="10" t="s">
        <v>59</v>
      </c>
      <c r="D107" s="10" t="n">
        <v>300</v>
      </c>
      <c r="E107" s="11" t="n">
        <f aca="false">IFERROR(_xlfn.MAXIFS('Custos Fornecedores'!$I$2:$I$55,'Custos Fornecedores'!$B$2:$B$55,$A107,'Custos Fornecedores'!$C$2:$C$55,$B107,'Custos Fornecedores'!$A$2:$A$55,"Marfel"),0)</f>
        <v>0.2394</v>
      </c>
      <c r="F107" s="11" t="n">
        <f aca="false">IFERROR(_xlfn.MAXIFS('Custos Fornecedores'!$I$2:$I$55,'Custos Fornecedores'!$B$2:$B$55,$A107,'Custos Fornecedores'!$C$2:$C$55,$B107,'Custos Fornecedores'!$A$2:$A$55,"Alquimia"),0)</f>
        <v>0.1855</v>
      </c>
      <c r="G107" s="11" t="n">
        <f aca="false">IF(E107=0,F107,IF(F107=0,E107,MAX(E107,F107)))</f>
        <v>0.2394</v>
      </c>
      <c r="H107" s="10" t="str">
        <f aca="false">IF(AND(E107=0,F107=0),"SEM DADOS",IF(E107=0,"Alquimia (único)",IF(F107=0,"Marfel (único)",IF(E107&gt;=F107,"Marfel","Alquimia"))))</f>
        <v>Marfel</v>
      </c>
      <c r="I107" s="12" t="n">
        <v>0.3</v>
      </c>
      <c r="J107" s="11" t="n">
        <f aca="false">I107*D107</f>
        <v>90</v>
      </c>
      <c r="K107" s="11" t="n">
        <f aca="false">G107+I107</f>
        <v>0.5394</v>
      </c>
      <c r="L107" s="13" t="n">
        <v>0.7</v>
      </c>
      <c r="M107" s="11" t="n">
        <f aca="false">K107*(1+L107)</f>
        <v>0.91698</v>
      </c>
      <c r="N107" s="12" t="n">
        <v>0.92</v>
      </c>
      <c r="O107" s="11" t="n">
        <f aca="false">M107-N107</f>
        <v>-0.00302000000000013</v>
      </c>
      <c r="P107" s="14" t="str">
        <f aca="false">IF(ISNUMBER(SEARCH("único",H107)),"Custo disponível de apenas 1 fornecedor para este tamanho — ver aba Inconsistências.","")</f>
        <v/>
      </c>
    </row>
    <row r="108" customFormat="false" ht="15" hidden="false" customHeight="false" outlineLevel="0" collapsed="false">
      <c r="A108" s="9" t="s">
        <v>31</v>
      </c>
      <c r="B108" s="10" t="s">
        <v>34</v>
      </c>
      <c r="C108" s="10" t="s">
        <v>60</v>
      </c>
      <c r="D108" s="10" t="n">
        <v>400</v>
      </c>
      <c r="E108" s="11" t="n">
        <f aca="false">IFERROR(_xlfn.MAXIFS('Custos Fornecedores'!$I$2:$I$55,'Custos Fornecedores'!$B$2:$B$55,$A108,'Custos Fornecedores'!$C$2:$C$55,$B108,'Custos Fornecedores'!$A$2:$A$55,"Marfel"),0)</f>
        <v>0.2394</v>
      </c>
      <c r="F108" s="11" t="n">
        <f aca="false">IFERROR(_xlfn.MAXIFS('Custos Fornecedores'!$I$2:$I$55,'Custos Fornecedores'!$B$2:$B$55,$A108,'Custos Fornecedores'!$C$2:$C$55,$B108,'Custos Fornecedores'!$A$2:$A$55,"Alquimia"),0)</f>
        <v>0.1855</v>
      </c>
      <c r="G108" s="11" t="n">
        <f aca="false">IF(E108=0,F108,IF(F108=0,E108,MAX(E108,F108)))</f>
        <v>0.2394</v>
      </c>
      <c r="H108" s="10" t="str">
        <f aca="false">IF(AND(E108=0,F108=0),"SEM DADOS",IF(E108=0,"Alquimia (único)",IF(F108=0,"Marfel (único)",IF(E108&gt;=F108,"Marfel","Alquimia"))))</f>
        <v>Marfel</v>
      </c>
      <c r="I108" s="12" t="n">
        <v>0.3</v>
      </c>
      <c r="J108" s="11" t="n">
        <f aca="false">I108*D108</f>
        <v>120</v>
      </c>
      <c r="K108" s="11" t="n">
        <f aca="false">G108+I108</f>
        <v>0.5394</v>
      </c>
      <c r="L108" s="13" t="n">
        <v>0.65</v>
      </c>
      <c r="M108" s="11" t="n">
        <f aca="false">K108*(1+L108)</f>
        <v>0.89001</v>
      </c>
      <c r="N108" s="12" t="n">
        <v>0.89</v>
      </c>
      <c r="O108" s="11" t="n">
        <f aca="false">M108-N108</f>
        <v>9.99999999995449E-006</v>
      </c>
      <c r="P108" s="14" t="str">
        <f aca="false">IF(ISNUMBER(SEARCH("único",H108)),"Custo disponível de apenas 1 fornecedor para este tamanho — ver aba Inconsistências.","")</f>
        <v/>
      </c>
    </row>
    <row r="109" customFormat="false" ht="15" hidden="false" customHeight="false" outlineLevel="0" collapsed="false">
      <c r="A109" s="9" t="s">
        <v>31</v>
      </c>
      <c r="B109" s="10" t="s">
        <v>34</v>
      </c>
      <c r="C109" s="10" t="s">
        <v>61</v>
      </c>
      <c r="D109" s="10" t="n">
        <v>500</v>
      </c>
      <c r="E109" s="11" t="n">
        <f aca="false">IFERROR(_xlfn.MAXIFS('Custos Fornecedores'!$I$2:$I$55,'Custos Fornecedores'!$B$2:$B$55,$A109,'Custos Fornecedores'!$C$2:$C$55,$B109,'Custos Fornecedores'!$A$2:$A$55,"Marfel"),0)</f>
        <v>0.2394</v>
      </c>
      <c r="F109" s="11" t="n">
        <f aca="false">IFERROR(_xlfn.MAXIFS('Custos Fornecedores'!$I$2:$I$55,'Custos Fornecedores'!$B$2:$B$55,$A109,'Custos Fornecedores'!$C$2:$C$55,$B109,'Custos Fornecedores'!$A$2:$A$55,"Alquimia"),0)</f>
        <v>0.1855</v>
      </c>
      <c r="G109" s="11" t="n">
        <f aca="false">IF(E109=0,F109,IF(F109=0,E109,MAX(E109,F109)))</f>
        <v>0.2394</v>
      </c>
      <c r="H109" s="10" t="str">
        <f aca="false">IF(AND(E109=0,F109=0),"SEM DADOS",IF(E109=0,"Alquimia (único)",IF(F109=0,"Marfel (único)",IF(E109&gt;=F109,"Marfel","Alquimia"))))</f>
        <v>Marfel</v>
      </c>
      <c r="I109" s="12" t="n">
        <v>0.3</v>
      </c>
      <c r="J109" s="11" t="n">
        <f aca="false">I109*D109</f>
        <v>150</v>
      </c>
      <c r="K109" s="11" t="n">
        <f aca="false">G109+I109</f>
        <v>0.5394</v>
      </c>
      <c r="L109" s="13" t="n">
        <v>0.6</v>
      </c>
      <c r="M109" s="11" t="n">
        <f aca="false">K109*(1+L109)</f>
        <v>0.86304</v>
      </c>
      <c r="N109" s="12" t="n">
        <v>0.86</v>
      </c>
      <c r="O109" s="11" t="n">
        <f aca="false">M109-N109</f>
        <v>0.00304000000000004</v>
      </c>
      <c r="P109" s="14" t="str">
        <f aca="false">IF(ISNUMBER(SEARCH("único",H109)),"Custo disponível de apenas 1 fornecedor para este tamanho — ver aba Inconsistências.","")</f>
        <v/>
      </c>
    </row>
    <row r="110" customFormat="false" ht="15" hidden="false" customHeight="false" outlineLevel="0" collapsed="false">
      <c r="A110" s="9" t="s">
        <v>31</v>
      </c>
      <c r="B110" s="10" t="s">
        <v>34</v>
      </c>
      <c r="C110" s="10" t="s">
        <v>62</v>
      </c>
      <c r="D110" s="10" t="n">
        <v>600</v>
      </c>
      <c r="E110" s="11" t="n">
        <f aca="false">IFERROR(_xlfn.MAXIFS('Custos Fornecedores'!$I$2:$I$55,'Custos Fornecedores'!$B$2:$B$55,$A110,'Custos Fornecedores'!$C$2:$C$55,$B110,'Custos Fornecedores'!$A$2:$A$55,"Marfel"),0)</f>
        <v>0.2394</v>
      </c>
      <c r="F110" s="11" t="n">
        <f aca="false">IFERROR(_xlfn.MAXIFS('Custos Fornecedores'!$I$2:$I$55,'Custos Fornecedores'!$B$2:$B$55,$A110,'Custos Fornecedores'!$C$2:$C$55,$B110,'Custos Fornecedores'!$A$2:$A$55,"Alquimia"),0)</f>
        <v>0.1855</v>
      </c>
      <c r="G110" s="11" t="n">
        <f aca="false">IF(E110=0,F110,IF(F110=0,E110,MAX(E110,F110)))</f>
        <v>0.2394</v>
      </c>
      <c r="H110" s="10" t="str">
        <f aca="false">IF(AND(E110=0,F110=0),"SEM DADOS",IF(E110=0,"Alquimia (único)",IF(F110=0,"Marfel (único)",IF(E110&gt;=F110,"Marfel","Alquimia"))))</f>
        <v>Marfel</v>
      </c>
      <c r="I110" s="12" t="n">
        <v>0.3</v>
      </c>
      <c r="J110" s="11" t="n">
        <f aca="false">I110*D110</f>
        <v>180</v>
      </c>
      <c r="K110" s="11" t="n">
        <f aca="false">G110+I110</f>
        <v>0.5394</v>
      </c>
      <c r="L110" s="13" t="n">
        <v>0.57</v>
      </c>
      <c r="M110" s="11" t="n">
        <f aca="false">K110*(1+L110)</f>
        <v>0.846858</v>
      </c>
      <c r="N110" s="12" t="n">
        <v>0.85</v>
      </c>
      <c r="O110" s="11" t="n">
        <f aca="false">M110-N110</f>
        <v>-0.00314200000000009</v>
      </c>
      <c r="P110" s="14" t="str">
        <f aca="false">IF(ISNUMBER(SEARCH("único",H110)),"Custo disponível de apenas 1 fornecedor para este tamanho — ver aba Inconsistências.","")</f>
        <v/>
      </c>
    </row>
    <row r="111" customFormat="false" ht="15" hidden="false" customHeight="false" outlineLevel="0" collapsed="false">
      <c r="A111" s="9" t="s">
        <v>31</v>
      </c>
      <c r="B111" s="10" t="s">
        <v>34</v>
      </c>
      <c r="C111" s="10" t="s">
        <v>63</v>
      </c>
      <c r="D111" s="10" t="n">
        <v>700</v>
      </c>
      <c r="E111" s="11" t="n">
        <f aca="false">IFERROR(_xlfn.MAXIFS('Custos Fornecedores'!$I$2:$I$55,'Custos Fornecedores'!$B$2:$B$55,$A111,'Custos Fornecedores'!$C$2:$C$55,$B111,'Custos Fornecedores'!$A$2:$A$55,"Marfel"),0)</f>
        <v>0.2394</v>
      </c>
      <c r="F111" s="11" t="n">
        <f aca="false">IFERROR(_xlfn.MAXIFS('Custos Fornecedores'!$I$2:$I$55,'Custos Fornecedores'!$B$2:$B$55,$A111,'Custos Fornecedores'!$C$2:$C$55,$B111,'Custos Fornecedores'!$A$2:$A$55,"Alquimia"),0)</f>
        <v>0.1855</v>
      </c>
      <c r="G111" s="11" t="n">
        <f aca="false">IF(E111=0,F111,IF(F111=0,E111,MAX(E111,F111)))</f>
        <v>0.2394</v>
      </c>
      <c r="H111" s="10" t="str">
        <f aca="false">IF(AND(E111=0,F111=0),"SEM DADOS",IF(E111=0,"Alquimia (único)",IF(F111=0,"Marfel (único)",IF(E111&gt;=F111,"Marfel","Alquimia"))))</f>
        <v>Marfel</v>
      </c>
      <c r="I111" s="12" t="n">
        <v>0.3</v>
      </c>
      <c r="J111" s="11" t="n">
        <f aca="false">I111*D111</f>
        <v>210</v>
      </c>
      <c r="K111" s="11" t="n">
        <f aca="false">G111+I111</f>
        <v>0.5394</v>
      </c>
      <c r="L111" s="13" t="n">
        <v>0.54</v>
      </c>
      <c r="M111" s="11" t="n">
        <f aca="false">K111*(1+L111)</f>
        <v>0.830676</v>
      </c>
      <c r="N111" s="12" t="n">
        <v>0.83</v>
      </c>
      <c r="O111" s="11" t="n">
        <f aca="false">M111-N111</f>
        <v>0.00067600000000001</v>
      </c>
      <c r="P111" s="14" t="str">
        <f aca="false">IF(ISNUMBER(SEARCH("único",H111)),"Custo disponível de apenas 1 fornecedor para este tamanho — ver aba Inconsistências.","")</f>
        <v/>
      </c>
    </row>
    <row r="112" customFormat="false" ht="15" hidden="false" customHeight="false" outlineLevel="0" collapsed="false">
      <c r="A112" s="9" t="s">
        <v>31</v>
      </c>
      <c r="B112" s="10" t="s">
        <v>34</v>
      </c>
      <c r="C112" s="10" t="s">
        <v>64</v>
      </c>
      <c r="D112" s="10" t="n">
        <v>800</v>
      </c>
      <c r="E112" s="11" t="n">
        <f aca="false">IFERROR(_xlfn.MAXIFS('Custos Fornecedores'!$I$2:$I$55,'Custos Fornecedores'!$B$2:$B$55,$A112,'Custos Fornecedores'!$C$2:$C$55,$B112,'Custos Fornecedores'!$A$2:$A$55,"Marfel"),0)</f>
        <v>0.2394</v>
      </c>
      <c r="F112" s="11" t="n">
        <f aca="false">IFERROR(_xlfn.MAXIFS('Custos Fornecedores'!$I$2:$I$55,'Custos Fornecedores'!$B$2:$B$55,$A112,'Custos Fornecedores'!$C$2:$C$55,$B112,'Custos Fornecedores'!$A$2:$A$55,"Alquimia"),0)</f>
        <v>0.1855</v>
      </c>
      <c r="G112" s="11" t="n">
        <f aca="false">IF(E112=0,F112,IF(F112=0,E112,MAX(E112,F112)))</f>
        <v>0.2394</v>
      </c>
      <c r="H112" s="10" t="str">
        <f aca="false">IF(AND(E112=0,F112=0),"SEM DADOS",IF(E112=0,"Alquimia (único)",IF(F112=0,"Marfel (único)",IF(E112&gt;=F112,"Marfel","Alquimia"))))</f>
        <v>Marfel</v>
      </c>
      <c r="I112" s="12" t="n">
        <v>0.3</v>
      </c>
      <c r="J112" s="11" t="n">
        <f aca="false">I112*D112</f>
        <v>240</v>
      </c>
      <c r="K112" s="11" t="n">
        <f aca="false">G112+I112</f>
        <v>0.5394</v>
      </c>
      <c r="L112" s="13" t="n">
        <v>0.51</v>
      </c>
      <c r="M112" s="11" t="n">
        <f aca="false">K112*(1+L112)</f>
        <v>0.814494</v>
      </c>
      <c r="N112" s="12" t="n">
        <v>0.81</v>
      </c>
      <c r="O112" s="11" t="n">
        <f aca="false">M112-N112</f>
        <v>0.00449399999999989</v>
      </c>
      <c r="P112" s="14" t="str">
        <f aca="false">IF(ISNUMBER(SEARCH("único",H112)),"Custo disponível de apenas 1 fornecedor para este tamanho — ver aba Inconsistências.","")</f>
        <v/>
      </c>
    </row>
    <row r="113" customFormat="false" ht="15" hidden="false" customHeight="false" outlineLevel="0" collapsed="false">
      <c r="A113" s="9" t="s">
        <v>31</v>
      </c>
      <c r="B113" s="10" t="s">
        <v>34</v>
      </c>
      <c r="C113" s="10" t="s">
        <v>65</v>
      </c>
      <c r="D113" s="10" t="n">
        <v>900</v>
      </c>
      <c r="E113" s="11" t="n">
        <f aca="false">IFERROR(_xlfn.MAXIFS('Custos Fornecedores'!$I$2:$I$55,'Custos Fornecedores'!$B$2:$B$55,$A113,'Custos Fornecedores'!$C$2:$C$55,$B113,'Custos Fornecedores'!$A$2:$A$55,"Marfel"),0)</f>
        <v>0.2394</v>
      </c>
      <c r="F113" s="11" t="n">
        <f aca="false">IFERROR(_xlfn.MAXIFS('Custos Fornecedores'!$I$2:$I$55,'Custos Fornecedores'!$B$2:$B$55,$A113,'Custos Fornecedores'!$C$2:$C$55,$B113,'Custos Fornecedores'!$A$2:$A$55,"Alquimia"),0)</f>
        <v>0.1855</v>
      </c>
      <c r="G113" s="11" t="n">
        <f aca="false">IF(E113=0,F113,IF(F113=0,E113,MAX(E113,F113)))</f>
        <v>0.2394</v>
      </c>
      <c r="H113" s="10" t="str">
        <f aca="false">IF(AND(E113=0,F113=0),"SEM DADOS",IF(E113=0,"Alquimia (único)",IF(F113=0,"Marfel (único)",IF(E113&gt;=F113,"Marfel","Alquimia"))))</f>
        <v>Marfel</v>
      </c>
      <c r="I113" s="12" t="n">
        <v>0.3</v>
      </c>
      <c r="J113" s="11" t="n">
        <f aca="false">I113*D113</f>
        <v>270</v>
      </c>
      <c r="K113" s="11" t="n">
        <f aca="false">G113+I113</f>
        <v>0.5394</v>
      </c>
      <c r="L113" s="13" t="n">
        <v>0.48</v>
      </c>
      <c r="M113" s="11" t="n">
        <f aca="false">K113*(1+L113)</f>
        <v>0.798312</v>
      </c>
      <c r="N113" s="12" t="n">
        <v>0.8</v>
      </c>
      <c r="O113" s="11" t="n">
        <f aca="false">M113-N113</f>
        <v>-0.00168800000000002</v>
      </c>
      <c r="P113" s="14" t="str">
        <f aca="false">IF(ISNUMBER(SEARCH("único",H113)),"Custo disponível de apenas 1 fornecedor para este tamanho — ver aba Inconsistências.","")</f>
        <v/>
      </c>
    </row>
    <row r="114" customFormat="false" ht="15" hidden="false" customHeight="false" outlineLevel="0" collapsed="false">
      <c r="A114" s="9" t="s">
        <v>31</v>
      </c>
      <c r="B114" s="10" t="s">
        <v>34</v>
      </c>
      <c r="C114" s="10" t="s">
        <v>66</v>
      </c>
      <c r="D114" s="10" t="n">
        <v>1000</v>
      </c>
      <c r="E114" s="11" t="n">
        <f aca="false">IFERROR(_xlfn.MAXIFS('Custos Fornecedores'!$I$2:$I$55,'Custos Fornecedores'!$B$2:$B$55,$A114,'Custos Fornecedores'!$C$2:$C$55,$B114,'Custos Fornecedores'!$A$2:$A$55,"Marfel"),0)</f>
        <v>0.2394</v>
      </c>
      <c r="F114" s="11" t="n">
        <f aca="false">IFERROR(_xlfn.MAXIFS('Custos Fornecedores'!$I$2:$I$55,'Custos Fornecedores'!$B$2:$B$55,$A114,'Custos Fornecedores'!$C$2:$C$55,$B114,'Custos Fornecedores'!$A$2:$A$55,"Alquimia"),0)</f>
        <v>0.1855</v>
      </c>
      <c r="G114" s="11" t="n">
        <f aca="false">IF(E114=0,F114,IF(F114=0,E114,MAX(E114,F114)))</f>
        <v>0.2394</v>
      </c>
      <c r="H114" s="10" t="str">
        <f aca="false">IF(AND(E114=0,F114=0),"SEM DADOS",IF(E114=0,"Alquimia (único)",IF(F114=0,"Marfel (único)",IF(E114&gt;=F114,"Marfel","Alquimia"))))</f>
        <v>Marfel</v>
      </c>
      <c r="I114" s="12" t="n">
        <v>0.3</v>
      </c>
      <c r="J114" s="11" t="n">
        <f aca="false">I114*D114</f>
        <v>300</v>
      </c>
      <c r="K114" s="11" t="n">
        <f aca="false">G114+I114</f>
        <v>0.5394</v>
      </c>
      <c r="L114" s="13" t="n">
        <v>0.4</v>
      </c>
      <c r="M114" s="11" t="n">
        <f aca="false">K114*(1+L114)</f>
        <v>0.75516</v>
      </c>
      <c r="N114" s="12" t="n">
        <v>0.76</v>
      </c>
      <c r="O114" s="11" t="n">
        <f aca="false">M114-N114</f>
        <v>-0.00484000000000007</v>
      </c>
      <c r="P114" s="14" t="str">
        <f aca="false">IF(ISNUMBER(SEARCH("único",H114)),"Custo disponível de apenas 1 fornecedor para este tamanho — ver aba Inconsistências.","")</f>
        <v/>
      </c>
    </row>
    <row r="115" customFormat="false" ht="15" hidden="false" customHeight="false" outlineLevel="0" collapsed="false">
      <c r="A115" s="9" t="s">
        <v>31</v>
      </c>
      <c r="B115" s="10" t="s">
        <v>11</v>
      </c>
      <c r="C115" s="10" t="s">
        <v>57</v>
      </c>
      <c r="D115" s="10" t="n">
        <v>100</v>
      </c>
      <c r="E115" s="11" t="n">
        <f aca="false">IFERROR(_xlfn.MAXIFS('Custos Fornecedores'!$I$2:$I$55,'Custos Fornecedores'!$B$2:$B$55,$A115,'Custos Fornecedores'!$C$2:$C$55,$B115,'Custos Fornecedores'!$A$2:$A$55,"Marfel"),0)</f>
        <v>0.342</v>
      </c>
      <c r="F115" s="11" t="n">
        <f aca="false">IFERROR(_xlfn.MAXIFS('Custos Fornecedores'!$I$2:$I$55,'Custos Fornecedores'!$B$2:$B$55,$A115,'Custos Fornecedores'!$C$2:$C$55,$B115,'Custos Fornecedores'!$A$2:$A$55,"Alquimia"),0)</f>
        <v>0.265</v>
      </c>
      <c r="G115" s="11" t="n">
        <f aca="false">IF(E115=0,F115,IF(F115=0,E115,MAX(E115,F115)))</f>
        <v>0.342</v>
      </c>
      <c r="H115" s="10" t="str">
        <f aca="false">IF(AND(E115=0,F115=0),"SEM DADOS",IF(E115=0,"Alquimia (único)",IF(F115=0,"Marfel (único)",IF(E115&gt;=F115,"Marfel","Alquimia"))))</f>
        <v>Marfel</v>
      </c>
      <c r="I115" s="12" t="n">
        <v>0.3</v>
      </c>
      <c r="J115" s="11" t="n">
        <f aca="false">I115*D115</f>
        <v>30</v>
      </c>
      <c r="K115" s="11" t="n">
        <f aca="false">G115+I115</f>
        <v>0.642</v>
      </c>
      <c r="L115" s="13" t="n">
        <v>1</v>
      </c>
      <c r="M115" s="11" t="n">
        <f aca="false">K115*(1+L115)</f>
        <v>1.284</v>
      </c>
      <c r="N115" s="12" t="n">
        <v>1.28</v>
      </c>
      <c r="O115" s="11" t="n">
        <f aca="false">M115-N115</f>
        <v>0.004</v>
      </c>
      <c r="P115" s="14" t="str">
        <f aca="false">IF(ISNUMBER(SEARCH("único",H115)),"Custo disponível de apenas 1 fornecedor para este tamanho — ver aba Inconsistências.","")</f>
        <v/>
      </c>
    </row>
    <row r="116" customFormat="false" ht="15" hidden="false" customHeight="false" outlineLevel="0" collapsed="false">
      <c r="A116" s="9" t="s">
        <v>31</v>
      </c>
      <c r="B116" s="10" t="s">
        <v>11</v>
      </c>
      <c r="C116" s="10" t="s">
        <v>58</v>
      </c>
      <c r="D116" s="10" t="n">
        <v>200</v>
      </c>
      <c r="E116" s="11" t="n">
        <f aca="false">IFERROR(_xlfn.MAXIFS('Custos Fornecedores'!$I$2:$I$55,'Custos Fornecedores'!$B$2:$B$55,$A116,'Custos Fornecedores'!$C$2:$C$55,$B116,'Custos Fornecedores'!$A$2:$A$55,"Marfel"),0)</f>
        <v>0.342</v>
      </c>
      <c r="F116" s="11" t="n">
        <f aca="false">IFERROR(_xlfn.MAXIFS('Custos Fornecedores'!$I$2:$I$55,'Custos Fornecedores'!$B$2:$B$55,$A116,'Custos Fornecedores'!$C$2:$C$55,$B116,'Custos Fornecedores'!$A$2:$A$55,"Alquimia"),0)</f>
        <v>0.265</v>
      </c>
      <c r="G116" s="11" t="n">
        <f aca="false">IF(E116=0,F116,IF(F116=0,E116,MAX(E116,F116)))</f>
        <v>0.342</v>
      </c>
      <c r="H116" s="10" t="str">
        <f aca="false">IF(AND(E116=0,F116=0),"SEM DADOS",IF(E116=0,"Alquimia (único)",IF(F116=0,"Marfel (único)",IF(E116&gt;=F116,"Marfel","Alquimia"))))</f>
        <v>Marfel</v>
      </c>
      <c r="I116" s="12" t="n">
        <v>0.3</v>
      </c>
      <c r="J116" s="11" t="n">
        <f aca="false">I116*D116</f>
        <v>60</v>
      </c>
      <c r="K116" s="11" t="n">
        <f aca="false">G116+I116</f>
        <v>0.642</v>
      </c>
      <c r="L116" s="13" t="n">
        <v>0.75</v>
      </c>
      <c r="M116" s="11" t="n">
        <f aca="false">K116*(1+L116)</f>
        <v>1.1235</v>
      </c>
      <c r="N116" s="12" t="n">
        <v>1.12</v>
      </c>
      <c r="O116" s="11" t="n">
        <f aca="false">M116-N116</f>
        <v>0.00349999999999984</v>
      </c>
      <c r="P116" s="14" t="str">
        <f aca="false">IF(ISNUMBER(SEARCH("único",H116)),"Custo disponível de apenas 1 fornecedor para este tamanho — ver aba Inconsistências.","")</f>
        <v/>
      </c>
    </row>
    <row r="117" customFormat="false" ht="15" hidden="false" customHeight="false" outlineLevel="0" collapsed="false">
      <c r="A117" s="9" t="s">
        <v>31</v>
      </c>
      <c r="B117" s="10" t="s">
        <v>11</v>
      </c>
      <c r="C117" s="10" t="s">
        <v>59</v>
      </c>
      <c r="D117" s="10" t="n">
        <v>300</v>
      </c>
      <c r="E117" s="11" t="n">
        <f aca="false">IFERROR(_xlfn.MAXIFS('Custos Fornecedores'!$I$2:$I$55,'Custos Fornecedores'!$B$2:$B$55,$A117,'Custos Fornecedores'!$C$2:$C$55,$B117,'Custos Fornecedores'!$A$2:$A$55,"Marfel"),0)</f>
        <v>0.342</v>
      </c>
      <c r="F117" s="11" t="n">
        <f aca="false">IFERROR(_xlfn.MAXIFS('Custos Fornecedores'!$I$2:$I$55,'Custos Fornecedores'!$B$2:$B$55,$A117,'Custos Fornecedores'!$C$2:$C$55,$B117,'Custos Fornecedores'!$A$2:$A$55,"Alquimia"),0)</f>
        <v>0.265</v>
      </c>
      <c r="G117" s="11" t="n">
        <f aca="false">IF(E117=0,F117,IF(F117=0,E117,MAX(E117,F117)))</f>
        <v>0.342</v>
      </c>
      <c r="H117" s="10" t="str">
        <f aca="false">IF(AND(E117=0,F117=0),"SEM DADOS",IF(E117=0,"Alquimia (único)",IF(F117=0,"Marfel (único)",IF(E117&gt;=F117,"Marfel","Alquimia"))))</f>
        <v>Marfel</v>
      </c>
      <c r="I117" s="12" t="n">
        <v>0.3</v>
      </c>
      <c r="J117" s="11" t="n">
        <f aca="false">I117*D117</f>
        <v>90</v>
      </c>
      <c r="K117" s="11" t="n">
        <f aca="false">G117+I117</f>
        <v>0.642</v>
      </c>
      <c r="L117" s="13" t="n">
        <v>0.7</v>
      </c>
      <c r="M117" s="11" t="n">
        <f aca="false">K117*(1+L117)</f>
        <v>1.0914</v>
      </c>
      <c r="N117" s="12" t="n">
        <v>1.09</v>
      </c>
      <c r="O117" s="11" t="n">
        <f aca="false">M117-N117</f>
        <v>0.00139999999999985</v>
      </c>
      <c r="P117" s="14" t="str">
        <f aca="false">IF(ISNUMBER(SEARCH("único",H117)),"Custo disponível de apenas 1 fornecedor para este tamanho — ver aba Inconsistências.","")</f>
        <v/>
      </c>
    </row>
    <row r="118" customFormat="false" ht="15" hidden="false" customHeight="false" outlineLevel="0" collapsed="false">
      <c r="A118" s="9" t="s">
        <v>31</v>
      </c>
      <c r="B118" s="10" t="s">
        <v>11</v>
      </c>
      <c r="C118" s="10" t="s">
        <v>60</v>
      </c>
      <c r="D118" s="10" t="n">
        <v>400</v>
      </c>
      <c r="E118" s="11" t="n">
        <f aca="false">IFERROR(_xlfn.MAXIFS('Custos Fornecedores'!$I$2:$I$55,'Custos Fornecedores'!$B$2:$B$55,$A118,'Custos Fornecedores'!$C$2:$C$55,$B118,'Custos Fornecedores'!$A$2:$A$55,"Marfel"),0)</f>
        <v>0.342</v>
      </c>
      <c r="F118" s="11" t="n">
        <f aca="false">IFERROR(_xlfn.MAXIFS('Custos Fornecedores'!$I$2:$I$55,'Custos Fornecedores'!$B$2:$B$55,$A118,'Custos Fornecedores'!$C$2:$C$55,$B118,'Custos Fornecedores'!$A$2:$A$55,"Alquimia"),0)</f>
        <v>0.265</v>
      </c>
      <c r="G118" s="11" t="n">
        <f aca="false">IF(E118=0,F118,IF(F118=0,E118,MAX(E118,F118)))</f>
        <v>0.342</v>
      </c>
      <c r="H118" s="10" t="str">
        <f aca="false">IF(AND(E118=0,F118=0),"SEM DADOS",IF(E118=0,"Alquimia (único)",IF(F118=0,"Marfel (único)",IF(E118&gt;=F118,"Marfel","Alquimia"))))</f>
        <v>Marfel</v>
      </c>
      <c r="I118" s="12" t="n">
        <v>0.3</v>
      </c>
      <c r="J118" s="11" t="n">
        <f aca="false">I118*D118</f>
        <v>120</v>
      </c>
      <c r="K118" s="11" t="n">
        <f aca="false">G118+I118</f>
        <v>0.642</v>
      </c>
      <c r="L118" s="13" t="n">
        <v>0.65</v>
      </c>
      <c r="M118" s="11" t="n">
        <f aca="false">K118*(1+L118)</f>
        <v>1.0593</v>
      </c>
      <c r="N118" s="12" t="n">
        <v>1.06</v>
      </c>
      <c r="O118" s="11" t="n">
        <f aca="false">M118-N118</f>
        <v>-0.000700000000000145</v>
      </c>
      <c r="P118" s="14" t="str">
        <f aca="false">IF(ISNUMBER(SEARCH("único",H118)),"Custo disponível de apenas 1 fornecedor para este tamanho — ver aba Inconsistências.","")</f>
        <v/>
      </c>
    </row>
    <row r="119" customFormat="false" ht="15" hidden="false" customHeight="false" outlineLevel="0" collapsed="false">
      <c r="A119" s="9" t="s">
        <v>31</v>
      </c>
      <c r="B119" s="10" t="s">
        <v>11</v>
      </c>
      <c r="C119" s="10" t="s">
        <v>61</v>
      </c>
      <c r="D119" s="10" t="n">
        <v>500</v>
      </c>
      <c r="E119" s="11" t="n">
        <f aca="false">IFERROR(_xlfn.MAXIFS('Custos Fornecedores'!$I$2:$I$55,'Custos Fornecedores'!$B$2:$B$55,$A119,'Custos Fornecedores'!$C$2:$C$55,$B119,'Custos Fornecedores'!$A$2:$A$55,"Marfel"),0)</f>
        <v>0.342</v>
      </c>
      <c r="F119" s="11" t="n">
        <f aca="false">IFERROR(_xlfn.MAXIFS('Custos Fornecedores'!$I$2:$I$55,'Custos Fornecedores'!$B$2:$B$55,$A119,'Custos Fornecedores'!$C$2:$C$55,$B119,'Custos Fornecedores'!$A$2:$A$55,"Alquimia"),0)</f>
        <v>0.265</v>
      </c>
      <c r="G119" s="11" t="n">
        <f aca="false">IF(E119=0,F119,IF(F119=0,E119,MAX(E119,F119)))</f>
        <v>0.342</v>
      </c>
      <c r="H119" s="10" t="str">
        <f aca="false">IF(AND(E119=0,F119=0),"SEM DADOS",IF(E119=0,"Alquimia (único)",IF(F119=0,"Marfel (único)",IF(E119&gt;=F119,"Marfel","Alquimia"))))</f>
        <v>Marfel</v>
      </c>
      <c r="I119" s="12" t="n">
        <v>0.3</v>
      </c>
      <c r="J119" s="11" t="n">
        <f aca="false">I119*D119</f>
        <v>150</v>
      </c>
      <c r="K119" s="11" t="n">
        <f aca="false">G119+I119</f>
        <v>0.642</v>
      </c>
      <c r="L119" s="13" t="n">
        <v>0.6</v>
      </c>
      <c r="M119" s="11" t="n">
        <f aca="false">K119*(1+L119)</f>
        <v>1.0272</v>
      </c>
      <c r="N119" s="12" t="n">
        <v>1.03</v>
      </c>
      <c r="O119" s="11" t="n">
        <f aca="false">M119-N119</f>
        <v>-0.00279999999999991</v>
      </c>
      <c r="P119" s="14" t="str">
        <f aca="false">IF(ISNUMBER(SEARCH("único",H119)),"Custo disponível de apenas 1 fornecedor para este tamanho — ver aba Inconsistências.","")</f>
        <v/>
      </c>
    </row>
    <row r="120" customFormat="false" ht="15" hidden="false" customHeight="false" outlineLevel="0" collapsed="false">
      <c r="A120" s="9" t="s">
        <v>31</v>
      </c>
      <c r="B120" s="10" t="s">
        <v>11</v>
      </c>
      <c r="C120" s="10" t="s">
        <v>62</v>
      </c>
      <c r="D120" s="10" t="n">
        <v>600</v>
      </c>
      <c r="E120" s="11" t="n">
        <f aca="false">IFERROR(_xlfn.MAXIFS('Custos Fornecedores'!$I$2:$I$55,'Custos Fornecedores'!$B$2:$B$55,$A120,'Custos Fornecedores'!$C$2:$C$55,$B120,'Custos Fornecedores'!$A$2:$A$55,"Marfel"),0)</f>
        <v>0.342</v>
      </c>
      <c r="F120" s="11" t="n">
        <f aca="false">IFERROR(_xlfn.MAXIFS('Custos Fornecedores'!$I$2:$I$55,'Custos Fornecedores'!$B$2:$B$55,$A120,'Custos Fornecedores'!$C$2:$C$55,$B120,'Custos Fornecedores'!$A$2:$A$55,"Alquimia"),0)</f>
        <v>0.265</v>
      </c>
      <c r="G120" s="11" t="n">
        <f aca="false">IF(E120=0,F120,IF(F120=0,E120,MAX(E120,F120)))</f>
        <v>0.342</v>
      </c>
      <c r="H120" s="10" t="str">
        <f aca="false">IF(AND(E120=0,F120=0),"SEM DADOS",IF(E120=0,"Alquimia (único)",IF(F120=0,"Marfel (único)",IF(E120&gt;=F120,"Marfel","Alquimia"))))</f>
        <v>Marfel</v>
      </c>
      <c r="I120" s="12" t="n">
        <v>0.3</v>
      </c>
      <c r="J120" s="11" t="n">
        <f aca="false">I120*D120</f>
        <v>180</v>
      </c>
      <c r="K120" s="11" t="n">
        <f aca="false">G120+I120</f>
        <v>0.642</v>
      </c>
      <c r="L120" s="13" t="n">
        <v>0.57</v>
      </c>
      <c r="M120" s="11" t="n">
        <f aca="false">K120*(1+L120)</f>
        <v>1.00794</v>
      </c>
      <c r="N120" s="12" t="n">
        <v>1.01</v>
      </c>
      <c r="O120" s="11" t="n">
        <f aca="false">M120-N120</f>
        <v>-0.00206000000000017</v>
      </c>
      <c r="P120" s="14" t="str">
        <f aca="false">IF(ISNUMBER(SEARCH("único",H120)),"Custo disponível de apenas 1 fornecedor para este tamanho — ver aba Inconsistências.","")</f>
        <v/>
      </c>
    </row>
    <row r="121" customFormat="false" ht="15" hidden="false" customHeight="false" outlineLevel="0" collapsed="false">
      <c r="A121" s="9" t="s">
        <v>31</v>
      </c>
      <c r="B121" s="10" t="s">
        <v>11</v>
      </c>
      <c r="C121" s="10" t="s">
        <v>63</v>
      </c>
      <c r="D121" s="10" t="n">
        <v>700</v>
      </c>
      <c r="E121" s="11" t="n">
        <f aca="false">IFERROR(_xlfn.MAXIFS('Custos Fornecedores'!$I$2:$I$55,'Custos Fornecedores'!$B$2:$B$55,$A121,'Custos Fornecedores'!$C$2:$C$55,$B121,'Custos Fornecedores'!$A$2:$A$55,"Marfel"),0)</f>
        <v>0.342</v>
      </c>
      <c r="F121" s="11" t="n">
        <f aca="false">IFERROR(_xlfn.MAXIFS('Custos Fornecedores'!$I$2:$I$55,'Custos Fornecedores'!$B$2:$B$55,$A121,'Custos Fornecedores'!$C$2:$C$55,$B121,'Custos Fornecedores'!$A$2:$A$55,"Alquimia"),0)</f>
        <v>0.265</v>
      </c>
      <c r="G121" s="11" t="n">
        <f aca="false">IF(E121=0,F121,IF(F121=0,E121,MAX(E121,F121)))</f>
        <v>0.342</v>
      </c>
      <c r="H121" s="10" t="str">
        <f aca="false">IF(AND(E121=0,F121=0),"SEM DADOS",IF(E121=0,"Alquimia (único)",IF(F121=0,"Marfel (único)",IF(E121&gt;=F121,"Marfel","Alquimia"))))</f>
        <v>Marfel</v>
      </c>
      <c r="I121" s="12" t="n">
        <v>0.3</v>
      </c>
      <c r="J121" s="11" t="n">
        <f aca="false">I121*D121</f>
        <v>210</v>
      </c>
      <c r="K121" s="11" t="n">
        <f aca="false">G121+I121</f>
        <v>0.642</v>
      </c>
      <c r="L121" s="13" t="n">
        <v>0.54</v>
      </c>
      <c r="M121" s="11" t="n">
        <f aca="false">K121*(1+L121)</f>
        <v>0.98868</v>
      </c>
      <c r="N121" s="12" t="n">
        <v>0.99</v>
      </c>
      <c r="O121" s="11" t="n">
        <f aca="false">M121-N121</f>
        <v>-0.00131999999999999</v>
      </c>
      <c r="P121" s="14" t="str">
        <f aca="false">IF(ISNUMBER(SEARCH("único",H121)),"Custo disponível de apenas 1 fornecedor para este tamanho — ver aba Inconsistências.","")</f>
        <v/>
      </c>
    </row>
    <row r="122" customFormat="false" ht="15" hidden="false" customHeight="false" outlineLevel="0" collapsed="false">
      <c r="A122" s="9" t="s">
        <v>31</v>
      </c>
      <c r="B122" s="10" t="s">
        <v>11</v>
      </c>
      <c r="C122" s="10" t="s">
        <v>64</v>
      </c>
      <c r="D122" s="10" t="n">
        <v>800</v>
      </c>
      <c r="E122" s="11" t="n">
        <f aca="false">IFERROR(_xlfn.MAXIFS('Custos Fornecedores'!$I$2:$I$55,'Custos Fornecedores'!$B$2:$B$55,$A122,'Custos Fornecedores'!$C$2:$C$55,$B122,'Custos Fornecedores'!$A$2:$A$55,"Marfel"),0)</f>
        <v>0.342</v>
      </c>
      <c r="F122" s="11" t="n">
        <f aca="false">IFERROR(_xlfn.MAXIFS('Custos Fornecedores'!$I$2:$I$55,'Custos Fornecedores'!$B$2:$B$55,$A122,'Custos Fornecedores'!$C$2:$C$55,$B122,'Custos Fornecedores'!$A$2:$A$55,"Alquimia"),0)</f>
        <v>0.265</v>
      </c>
      <c r="G122" s="11" t="n">
        <f aca="false">IF(E122=0,F122,IF(F122=0,E122,MAX(E122,F122)))</f>
        <v>0.342</v>
      </c>
      <c r="H122" s="10" t="str">
        <f aca="false">IF(AND(E122=0,F122=0),"SEM DADOS",IF(E122=0,"Alquimia (único)",IF(F122=0,"Marfel (único)",IF(E122&gt;=F122,"Marfel","Alquimia"))))</f>
        <v>Marfel</v>
      </c>
      <c r="I122" s="12" t="n">
        <v>0.3</v>
      </c>
      <c r="J122" s="11" t="n">
        <f aca="false">I122*D122</f>
        <v>240</v>
      </c>
      <c r="K122" s="11" t="n">
        <f aca="false">G122+I122</f>
        <v>0.642</v>
      </c>
      <c r="L122" s="13" t="n">
        <v>0.51</v>
      </c>
      <c r="M122" s="11" t="n">
        <f aca="false">K122*(1+L122)</f>
        <v>0.96942</v>
      </c>
      <c r="N122" s="12" t="n">
        <v>0.97</v>
      </c>
      <c r="O122" s="11" t="n">
        <f aca="false">M122-N122</f>
        <v>-0.000579999999999914</v>
      </c>
      <c r="P122" s="14" t="str">
        <f aca="false">IF(ISNUMBER(SEARCH("único",H122)),"Custo disponível de apenas 1 fornecedor para este tamanho — ver aba Inconsistências.","")</f>
        <v/>
      </c>
    </row>
    <row r="123" customFormat="false" ht="15" hidden="false" customHeight="false" outlineLevel="0" collapsed="false">
      <c r="A123" s="9" t="s">
        <v>31</v>
      </c>
      <c r="B123" s="10" t="s">
        <v>11</v>
      </c>
      <c r="C123" s="10" t="s">
        <v>65</v>
      </c>
      <c r="D123" s="10" t="n">
        <v>900</v>
      </c>
      <c r="E123" s="11" t="n">
        <f aca="false">IFERROR(_xlfn.MAXIFS('Custos Fornecedores'!$I$2:$I$55,'Custos Fornecedores'!$B$2:$B$55,$A123,'Custos Fornecedores'!$C$2:$C$55,$B123,'Custos Fornecedores'!$A$2:$A$55,"Marfel"),0)</f>
        <v>0.342</v>
      </c>
      <c r="F123" s="11" t="n">
        <f aca="false">IFERROR(_xlfn.MAXIFS('Custos Fornecedores'!$I$2:$I$55,'Custos Fornecedores'!$B$2:$B$55,$A123,'Custos Fornecedores'!$C$2:$C$55,$B123,'Custos Fornecedores'!$A$2:$A$55,"Alquimia"),0)</f>
        <v>0.265</v>
      </c>
      <c r="G123" s="11" t="n">
        <f aca="false">IF(E123=0,F123,IF(F123=0,E123,MAX(E123,F123)))</f>
        <v>0.342</v>
      </c>
      <c r="H123" s="10" t="str">
        <f aca="false">IF(AND(E123=0,F123=0),"SEM DADOS",IF(E123=0,"Alquimia (único)",IF(F123=0,"Marfel (único)",IF(E123&gt;=F123,"Marfel","Alquimia"))))</f>
        <v>Marfel</v>
      </c>
      <c r="I123" s="12" t="n">
        <v>0.3</v>
      </c>
      <c r="J123" s="11" t="n">
        <f aca="false">I123*D123</f>
        <v>270</v>
      </c>
      <c r="K123" s="11" t="n">
        <f aca="false">G123+I123</f>
        <v>0.642</v>
      </c>
      <c r="L123" s="13" t="n">
        <v>0.48</v>
      </c>
      <c r="M123" s="11" t="n">
        <f aca="false">K123*(1+L123)</f>
        <v>0.95016</v>
      </c>
      <c r="N123" s="12" t="n">
        <v>0.95</v>
      </c>
      <c r="O123" s="11" t="n">
        <f aca="false">M123-N123</f>
        <v>0.000160000000000049</v>
      </c>
      <c r="P123" s="14" t="str">
        <f aca="false">IF(ISNUMBER(SEARCH("único",H123)),"Custo disponível de apenas 1 fornecedor para este tamanho — ver aba Inconsistências.","")</f>
        <v/>
      </c>
    </row>
    <row r="124" customFormat="false" ht="15" hidden="false" customHeight="false" outlineLevel="0" collapsed="false">
      <c r="A124" s="9" t="s">
        <v>31</v>
      </c>
      <c r="B124" s="10" t="s">
        <v>11</v>
      </c>
      <c r="C124" s="10" t="s">
        <v>66</v>
      </c>
      <c r="D124" s="10" t="n">
        <v>1000</v>
      </c>
      <c r="E124" s="11" t="n">
        <f aca="false">IFERROR(_xlfn.MAXIFS('Custos Fornecedores'!$I$2:$I$55,'Custos Fornecedores'!$B$2:$B$55,$A124,'Custos Fornecedores'!$C$2:$C$55,$B124,'Custos Fornecedores'!$A$2:$A$55,"Marfel"),0)</f>
        <v>0.342</v>
      </c>
      <c r="F124" s="11" t="n">
        <f aca="false">IFERROR(_xlfn.MAXIFS('Custos Fornecedores'!$I$2:$I$55,'Custos Fornecedores'!$B$2:$B$55,$A124,'Custos Fornecedores'!$C$2:$C$55,$B124,'Custos Fornecedores'!$A$2:$A$55,"Alquimia"),0)</f>
        <v>0.265</v>
      </c>
      <c r="G124" s="11" t="n">
        <f aca="false">IF(E124=0,F124,IF(F124=0,E124,MAX(E124,F124)))</f>
        <v>0.342</v>
      </c>
      <c r="H124" s="10" t="str">
        <f aca="false">IF(AND(E124=0,F124=0),"SEM DADOS",IF(E124=0,"Alquimia (único)",IF(F124=0,"Marfel (único)",IF(E124&gt;=F124,"Marfel","Alquimia"))))</f>
        <v>Marfel</v>
      </c>
      <c r="I124" s="12" t="n">
        <v>0.3</v>
      </c>
      <c r="J124" s="11" t="n">
        <f aca="false">I124*D124</f>
        <v>300</v>
      </c>
      <c r="K124" s="11" t="n">
        <f aca="false">G124+I124</f>
        <v>0.642</v>
      </c>
      <c r="L124" s="13" t="n">
        <v>0.4</v>
      </c>
      <c r="M124" s="11" t="n">
        <f aca="false">K124*(1+L124)</f>
        <v>0.8988</v>
      </c>
      <c r="N124" s="12" t="n">
        <v>0.9</v>
      </c>
      <c r="O124" s="11" t="n">
        <f aca="false">M124-N124</f>
        <v>-0.00120000000000009</v>
      </c>
      <c r="P124" s="14" t="str">
        <f aca="false">IF(ISNUMBER(SEARCH("único",H124)),"Custo disponível de apenas 1 fornecedor para este tamanho — ver aba Inconsistências.","")</f>
        <v/>
      </c>
    </row>
    <row r="125" customFormat="false" ht="15" hidden="false" customHeight="false" outlineLevel="0" collapsed="false">
      <c r="A125" s="9" t="s">
        <v>31</v>
      </c>
      <c r="B125" s="10" t="s">
        <v>18</v>
      </c>
      <c r="C125" s="10" t="s">
        <v>57</v>
      </c>
      <c r="D125" s="10" t="n">
        <v>100</v>
      </c>
      <c r="E125" s="11" t="n">
        <f aca="false">IFERROR(_xlfn.MAXIFS('Custos Fornecedores'!$I$2:$I$55,'Custos Fornecedores'!$B$2:$B$55,$A125,'Custos Fornecedores'!$C$2:$C$55,$B125,'Custos Fornecedores'!$A$2:$A$55,"Marfel"),0)</f>
        <v>0.684</v>
      </c>
      <c r="F125" s="11" t="n">
        <f aca="false">IFERROR(_xlfn.MAXIFS('Custos Fornecedores'!$I$2:$I$55,'Custos Fornecedores'!$B$2:$B$55,$A125,'Custos Fornecedores'!$C$2:$C$55,$B125,'Custos Fornecedores'!$A$2:$A$55,"Alquimia"),0)</f>
        <v>0.424</v>
      </c>
      <c r="G125" s="11" t="n">
        <f aca="false">IF(E125=0,F125,IF(F125=0,E125,MAX(E125,F125)))</f>
        <v>0.684</v>
      </c>
      <c r="H125" s="10" t="str">
        <f aca="false">IF(AND(E125=0,F125=0),"SEM DADOS",IF(E125=0,"Alquimia (único)",IF(F125=0,"Marfel (único)",IF(E125&gt;=F125,"Marfel","Alquimia"))))</f>
        <v>Marfel</v>
      </c>
      <c r="I125" s="12" t="n">
        <v>0.3</v>
      </c>
      <c r="J125" s="11" t="n">
        <f aca="false">I125*D125</f>
        <v>30</v>
      </c>
      <c r="K125" s="11" t="n">
        <f aca="false">G125+I125</f>
        <v>0.984</v>
      </c>
      <c r="L125" s="13" t="n">
        <v>1</v>
      </c>
      <c r="M125" s="11" t="n">
        <f aca="false">K125*(1+L125)</f>
        <v>1.968</v>
      </c>
      <c r="N125" s="12" t="n">
        <v>1.97</v>
      </c>
      <c r="O125" s="11" t="n">
        <f aca="false">M125-N125</f>
        <v>-0.002</v>
      </c>
      <c r="P125" s="14" t="str">
        <f aca="false">IF(ISNUMBER(SEARCH("único",H125)),"Custo disponível de apenas 1 fornecedor para este tamanho — ver aba Inconsistências.","")</f>
        <v/>
      </c>
    </row>
    <row r="126" customFormat="false" ht="15" hidden="false" customHeight="false" outlineLevel="0" collapsed="false">
      <c r="A126" s="9" t="s">
        <v>31</v>
      </c>
      <c r="B126" s="10" t="s">
        <v>18</v>
      </c>
      <c r="C126" s="10" t="s">
        <v>58</v>
      </c>
      <c r="D126" s="10" t="n">
        <v>200</v>
      </c>
      <c r="E126" s="11" t="n">
        <f aca="false">IFERROR(_xlfn.MAXIFS('Custos Fornecedores'!$I$2:$I$55,'Custos Fornecedores'!$B$2:$B$55,$A126,'Custos Fornecedores'!$C$2:$C$55,$B126,'Custos Fornecedores'!$A$2:$A$55,"Marfel"),0)</f>
        <v>0.684</v>
      </c>
      <c r="F126" s="11" t="n">
        <f aca="false">IFERROR(_xlfn.MAXIFS('Custos Fornecedores'!$I$2:$I$55,'Custos Fornecedores'!$B$2:$B$55,$A126,'Custos Fornecedores'!$C$2:$C$55,$B126,'Custos Fornecedores'!$A$2:$A$55,"Alquimia"),0)</f>
        <v>0.424</v>
      </c>
      <c r="G126" s="11" t="n">
        <f aca="false">IF(E126=0,F126,IF(F126=0,E126,MAX(E126,F126)))</f>
        <v>0.684</v>
      </c>
      <c r="H126" s="10" t="str">
        <f aca="false">IF(AND(E126=0,F126=0),"SEM DADOS",IF(E126=0,"Alquimia (único)",IF(F126=0,"Marfel (único)",IF(E126&gt;=F126,"Marfel","Alquimia"))))</f>
        <v>Marfel</v>
      </c>
      <c r="I126" s="12" t="n">
        <v>0.3</v>
      </c>
      <c r="J126" s="11" t="n">
        <f aca="false">I126*D126</f>
        <v>60</v>
      </c>
      <c r="K126" s="11" t="n">
        <f aca="false">G126+I126</f>
        <v>0.984</v>
      </c>
      <c r="L126" s="13" t="n">
        <v>0.75</v>
      </c>
      <c r="M126" s="11" t="n">
        <f aca="false">K126*(1+L126)</f>
        <v>1.722</v>
      </c>
      <c r="N126" s="12" t="n">
        <v>1.72</v>
      </c>
      <c r="O126" s="11" t="n">
        <f aca="false">M126-N126</f>
        <v>0.002</v>
      </c>
      <c r="P126" s="14" t="str">
        <f aca="false">IF(ISNUMBER(SEARCH("único",H126)),"Custo disponível de apenas 1 fornecedor para este tamanho — ver aba Inconsistências.","")</f>
        <v/>
      </c>
    </row>
    <row r="127" customFormat="false" ht="15" hidden="false" customHeight="false" outlineLevel="0" collapsed="false">
      <c r="A127" s="9" t="s">
        <v>31</v>
      </c>
      <c r="B127" s="10" t="s">
        <v>18</v>
      </c>
      <c r="C127" s="10" t="s">
        <v>59</v>
      </c>
      <c r="D127" s="10" t="n">
        <v>300</v>
      </c>
      <c r="E127" s="11" t="n">
        <f aca="false">IFERROR(_xlfn.MAXIFS('Custos Fornecedores'!$I$2:$I$55,'Custos Fornecedores'!$B$2:$B$55,$A127,'Custos Fornecedores'!$C$2:$C$55,$B127,'Custos Fornecedores'!$A$2:$A$55,"Marfel"),0)</f>
        <v>0.684</v>
      </c>
      <c r="F127" s="11" t="n">
        <f aca="false">IFERROR(_xlfn.MAXIFS('Custos Fornecedores'!$I$2:$I$55,'Custos Fornecedores'!$B$2:$B$55,$A127,'Custos Fornecedores'!$C$2:$C$55,$B127,'Custos Fornecedores'!$A$2:$A$55,"Alquimia"),0)</f>
        <v>0.424</v>
      </c>
      <c r="G127" s="11" t="n">
        <f aca="false">IF(E127=0,F127,IF(F127=0,E127,MAX(E127,F127)))</f>
        <v>0.684</v>
      </c>
      <c r="H127" s="10" t="str">
        <f aca="false">IF(AND(E127=0,F127=0),"SEM DADOS",IF(E127=0,"Alquimia (único)",IF(F127=0,"Marfel (único)",IF(E127&gt;=F127,"Marfel","Alquimia"))))</f>
        <v>Marfel</v>
      </c>
      <c r="I127" s="12" t="n">
        <v>0.3</v>
      </c>
      <c r="J127" s="11" t="n">
        <f aca="false">I127*D127</f>
        <v>90</v>
      </c>
      <c r="K127" s="11" t="n">
        <f aca="false">G127+I127</f>
        <v>0.984</v>
      </c>
      <c r="L127" s="13" t="n">
        <v>0.7</v>
      </c>
      <c r="M127" s="11" t="n">
        <f aca="false">K127*(1+L127)</f>
        <v>1.6728</v>
      </c>
      <c r="N127" s="12" t="n">
        <v>1.67</v>
      </c>
      <c r="O127" s="11" t="n">
        <f aca="false">M127-N127</f>
        <v>0.00279999999999991</v>
      </c>
      <c r="P127" s="14" t="str">
        <f aca="false">IF(ISNUMBER(SEARCH("único",H127)),"Custo disponível de apenas 1 fornecedor para este tamanho — ver aba Inconsistências.","")</f>
        <v/>
      </c>
    </row>
    <row r="128" customFormat="false" ht="15" hidden="false" customHeight="false" outlineLevel="0" collapsed="false">
      <c r="A128" s="9" t="s">
        <v>31</v>
      </c>
      <c r="B128" s="10" t="s">
        <v>18</v>
      </c>
      <c r="C128" s="10" t="s">
        <v>60</v>
      </c>
      <c r="D128" s="10" t="n">
        <v>400</v>
      </c>
      <c r="E128" s="11" t="n">
        <f aca="false">IFERROR(_xlfn.MAXIFS('Custos Fornecedores'!$I$2:$I$55,'Custos Fornecedores'!$B$2:$B$55,$A128,'Custos Fornecedores'!$C$2:$C$55,$B128,'Custos Fornecedores'!$A$2:$A$55,"Marfel"),0)</f>
        <v>0.684</v>
      </c>
      <c r="F128" s="11" t="n">
        <f aca="false">IFERROR(_xlfn.MAXIFS('Custos Fornecedores'!$I$2:$I$55,'Custos Fornecedores'!$B$2:$B$55,$A128,'Custos Fornecedores'!$C$2:$C$55,$B128,'Custos Fornecedores'!$A$2:$A$55,"Alquimia"),0)</f>
        <v>0.424</v>
      </c>
      <c r="G128" s="11" t="n">
        <f aca="false">IF(E128=0,F128,IF(F128=0,E128,MAX(E128,F128)))</f>
        <v>0.684</v>
      </c>
      <c r="H128" s="10" t="str">
        <f aca="false">IF(AND(E128=0,F128=0),"SEM DADOS",IF(E128=0,"Alquimia (único)",IF(F128=0,"Marfel (único)",IF(E128&gt;=F128,"Marfel","Alquimia"))))</f>
        <v>Marfel</v>
      </c>
      <c r="I128" s="12" t="n">
        <v>0.3</v>
      </c>
      <c r="J128" s="11" t="n">
        <f aca="false">I128*D128</f>
        <v>120</v>
      </c>
      <c r="K128" s="11" t="n">
        <f aca="false">G128+I128</f>
        <v>0.984</v>
      </c>
      <c r="L128" s="13" t="n">
        <v>0.65</v>
      </c>
      <c r="M128" s="11" t="n">
        <f aca="false">K128*(1+L128)</f>
        <v>1.6236</v>
      </c>
      <c r="N128" s="12" t="n">
        <v>1.62</v>
      </c>
      <c r="O128" s="11" t="n">
        <f aca="false">M128-N128</f>
        <v>0.00359999999999983</v>
      </c>
      <c r="P128" s="14" t="str">
        <f aca="false">IF(ISNUMBER(SEARCH("único",H128)),"Custo disponível de apenas 1 fornecedor para este tamanho — ver aba Inconsistências.","")</f>
        <v/>
      </c>
    </row>
    <row r="129" customFormat="false" ht="15" hidden="false" customHeight="false" outlineLevel="0" collapsed="false">
      <c r="A129" s="9" t="s">
        <v>31</v>
      </c>
      <c r="B129" s="10" t="s">
        <v>18</v>
      </c>
      <c r="C129" s="10" t="s">
        <v>61</v>
      </c>
      <c r="D129" s="10" t="n">
        <v>500</v>
      </c>
      <c r="E129" s="11" t="n">
        <f aca="false">IFERROR(_xlfn.MAXIFS('Custos Fornecedores'!$I$2:$I$55,'Custos Fornecedores'!$B$2:$B$55,$A129,'Custos Fornecedores'!$C$2:$C$55,$B129,'Custos Fornecedores'!$A$2:$A$55,"Marfel"),0)</f>
        <v>0.684</v>
      </c>
      <c r="F129" s="11" t="n">
        <f aca="false">IFERROR(_xlfn.MAXIFS('Custos Fornecedores'!$I$2:$I$55,'Custos Fornecedores'!$B$2:$B$55,$A129,'Custos Fornecedores'!$C$2:$C$55,$B129,'Custos Fornecedores'!$A$2:$A$55,"Alquimia"),0)</f>
        <v>0.424</v>
      </c>
      <c r="G129" s="11" t="n">
        <f aca="false">IF(E129=0,F129,IF(F129=0,E129,MAX(E129,F129)))</f>
        <v>0.684</v>
      </c>
      <c r="H129" s="10" t="str">
        <f aca="false">IF(AND(E129=0,F129=0),"SEM DADOS",IF(E129=0,"Alquimia (único)",IF(F129=0,"Marfel (único)",IF(E129&gt;=F129,"Marfel","Alquimia"))))</f>
        <v>Marfel</v>
      </c>
      <c r="I129" s="12" t="n">
        <v>0.3</v>
      </c>
      <c r="J129" s="11" t="n">
        <f aca="false">I129*D129</f>
        <v>150</v>
      </c>
      <c r="K129" s="11" t="n">
        <f aca="false">G129+I129</f>
        <v>0.984</v>
      </c>
      <c r="L129" s="13" t="n">
        <v>0.6</v>
      </c>
      <c r="M129" s="11" t="n">
        <f aca="false">K129*(1+L129)</f>
        <v>1.5744</v>
      </c>
      <c r="N129" s="12" t="n">
        <v>1.57</v>
      </c>
      <c r="O129" s="11" t="n">
        <f aca="false">M129-N129</f>
        <v>0.00439999999999996</v>
      </c>
      <c r="P129" s="14" t="str">
        <f aca="false">IF(ISNUMBER(SEARCH("único",H129)),"Custo disponível de apenas 1 fornecedor para este tamanho — ver aba Inconsistências.","")</f>
        <v/>
      </c>
    </row>
    <row r="130" customFormat="false" ht="15" hidden="false" customHeight="false" outlineLevel="0" collapsed="false">
      <c r="A130" s="9" t="s">
        <v>31</v>
      </c>
      <c r="B130" s="10" t="s">
        <v>18</v>
      </c>
      <c r="C130" s="10" t="s">
        <v>62</v>
      </c>
      <c r="D130" s="10" t="n">
        <v>600</v>
      </c>
      <c r="E130" s="11" t="n">
        <f aca="false">IFERROR(_xlfn.MAXIFS('Custos Fornecedores'!$I$2:$I$55,'Custos Fornecedores'!$B$2:$B$55,$A130,'Custos Fornecedores'!$C$2:$C$55,$B130,'Custos Fornecedores'!$A$2:$A$55,"Marfel"),0)</f>
        <v>0.684</v>
      </c>
      <c r="F130" s="11" t="n">
        <f aca="false">IFERROR(_xlfn.MAXIFS('Custos Fornecedores'!$I$2:$I$55,'Custos Fornecedores'!$B$2:$B$55,$A130,'Custos Fornecedores'!$C$2:$C$55,$B130,'Custos Fornecedores'!$A$2:$A$55,"Alquimia"),0)</f>
        <v>0.424</v>
      </c>
      <c r="G130" s="11" t="n">
        <f aca="false">IF(E130=0,F130,IF(F130=0,E130,MAX(E130,F130)))</f>
        <v>0.684</v>
      </c>
      <c r="H130" s="10" t="str">
        <f aca="false">IF(AND(E130=0,F130=0),"SEM DADOS",IF(E130=0,"Alquimia (único)",IF(F130=0,"Marfel (único)",IF(E130&gt;=F130,"Marfel","Alquimia"))))</f>
        <v>Marfel</v>
      </c>
      <c r="I130" s="12" t="n">
        <v>0.3</v>
      </c>
      <c r="J130" s="11" t="n">
        <f aca="false">I130*D130</f>
        <v>180</v>
      </c>
      <c r="K130" s="11" t="n">
        <f aca="false">G130+I130</f>
        <v>0.984</v>
      </c>
      <c r="L130" s="13" t="n">
        <v>0.57</v>
      </c>
      <c r="M130" s="11" t="n">
        <f aca="false">K130*(1+L130)</f>
        <v>1.54488</v>
      </c>
      <c r="N130" s="12" t="n">
        <v>1.54</v>
      </c>
      <c r="O130" s="11" t="n">
        <f aca="false">M130-N130</f>
        <v>0.00487999999999977</v>
      </c>
      <c r="P130" s="14" t="str">
        <f aca="false">IF(ISNUMBER(SEARCH("único",H130)),"Custo disponível de apenas 1 fornecedor para este tamanho — ver aba Inconsistências.","")</f>
        <v/>
      </c>
    </row>
    <row r="131" customFormat="false" ht="15" hidden="false" customHeight="false" outlineLevel="0" collapsed="false">
      <c r="A131" s="9" t="s">
        <v>31</v>
      </c>
      <c r="B131" s="10" t="s">
        <v>18</v>
      </c>
      <c r="C131" s="10" t="s">
        <v>63</v>
      </c>
      <c r="D131" s="10" t="n">
        <v>700</v>
      </c>
      <c r="E131" s="11" t="n">
        <f aca="false">IFERROR(_xlfn.MAXIFS('Custos Fornecedores'!$I$2:$I$55,'Custos Fornecedores'!$B$2:$B$55,$A131,'Custos Fornecedores'!$C$2:$C$55,$B131,'Custos Fornecedores'!$A$2:$A$55,"Marfel"),0)</f>
        <v>0.684</v>
      </c>
      <c r="F131" s="11" t="n">
        <f aca="false">IFERROR(_xlfn.MAXIFS('Custos Fornecedores'!$I$2:$I$55,'Custos Fornecedores'!$B$2:$B$55,$A131,'Custos Fornecedores'!$C$2:$C$55,$B131,'Custos Fornecedores'!$A$2:$A$55,"Alquimia"),0)</f>
        <v>0.424</v>
      </c>
      <c r="G131" s="11" t="n">
        <f aca="false">IF(E131=0,F131,IF(F131=0,E131,MAX(E131,F131)))</f>
        <v>0.684</v>
      </c>
      <c r="H131" s="10" t="str">
        <f aca="false">IF(AND(E131=0,F131=0),"SEM DADOS",IF(E131=0,"Alquimia (único)",IF(F131=0,"Marfel (único)",IF(E131&gt;=F131,"Marfel","Alquimia"))))</f>
        <v>Marfel</v>
      </c>
      <c r="I131" s="12" t="n">
        <v>0.3</v>
      </c>
      <c r="J131" s="11" t="n">
        <f aca="false">I131*D131</f>
        <v>210</v>
      </c>
      <c r="K131" s="11" t="n">
        <f aca="false">G131+I131</f>
        <v>0.984</v>
      </c>
      <c r="L131" s="13" t="n">
        <v>0.54</v>
      </c>
      <c r="M131" s="11" t="n">
        <f aca="false">K131*(1+L131)</f>
        <v>1.51536</v>
      </c>
      <c r="N131" s="12" t="n">
        <v>1.52</v>
      </c>
      <c r="O131" s="11" t="n">
        <f aca="false">M131-N131</f>
        <v>-0.00463999999999998</v>
      </c>
      <c r="P131" s="14" t="str">
        <f aca="false">IF(ISNUMBER(SEARCH("único",H131)),"Custo disponível de apenas 1 fornecedor para este tamanho — ver aba Inconsistências.","")</f>
        <v/>
      </c>
    </row>
    <row r="132" customFormat="false" ht="15" hidden="false" customHeight="false" outlineLevel="0" collapsed="false">
      <c r="A132" s="9" t="s">
        <v>31</v>
      </c>
      <c r="B132" s="10" t="s">
        <v>18</v>
      </c>
      <c r="C132" s="10" t="s">
        <v>64</v>
      </c>
      <c r="D132" s="10" t="n">
        <v>800</v>
      </c>
      <c r="E132" s="11" t="n">
        <f aca="false">IFERROR(_xlfn.MAXIFS('Custos Fornecedores'!$I$2:$I$55,'Custos Fornecedores'!$B$2:$B$55,$A132,'Custos Fornecedores'!$C$2:$C$55,$B132,'Custos Fornecedores'!$A$2:$A$55,"Marfel"),0)</f>
        <v>0.684</v>
      </c>
      <c r="F132" s="11" t="n">
        <f aca="false">IFERROR(_xlfn.MAXIFS('Custos Fornecedores'!$I$2:$I$55,'Custos Fornecedores'!$B$2:$B$55,$A132,'Custos Fornecedores'!$C$2:$C$55,$B132,'Custos Fornecedores'!$A$2:$A$55,"Alquimia"),0)</f>
        <v>0.424</v>
      </c>
      <c r="G132" s="11" t="n">
        <f aca="false">IF(E132=0,F132,IF(F132=0,E132,MAX(E132,F132)))</f>
        <v>0.684</v>
      </c>
      <c r="H132" s="10" t="str">
        <f aca="false">IF(AND(E132=0,F132=0),"SEM DADOS",IF(E132=0,"Alquimia (único)",IF(F132=0,"Marfel (único)",IF(E132&gt;=F132,"Marfel","Alquimia"))))</f>
        <v>Marfel</v>
      </c>
      <c r="I132" s="12" t="n">
        <v>0.3</v>
      </c>
      <c r="J132" s="11" t="n">
        <f aca="false">I132*D132</f>
        <v>240</v>
      </c>
      <c r="K132" s="11" t="n">
        <f aca="false">G132+I132</f>
        <v>0.984</v>
      </c>
      <c r="L132" s="13" t="n">
        <v>0.51</v>
      </c>
      <c r="M132" s="11" t="n">
        <f aca="false">K132*(1+L132)</f>
        <v>1.48584</v>
      </c>
      <c r="N132" s="12" t="n">
        <v>1.49</v>
      </c>
      <c r="O132" s="11" t="n">
        <f aca="false">M132-N132</f>
        <v>-0.00415999999999994</v>
      </c>
      <c r="P132" s="14" t="str">
        <f aca="false">IF(ISNUMBER(SEARCH("único",H132)),"Custo disponível de apenas 1 fornecedor para este tamanho — ver aba Inconsistências.","")</f>
        <v/>
      </c>
    </row>
    <row r="133" customFormat="false" ht="15" hidden="false" customHeight="false" outlineLevel="0" collapsed="false">
      <c r="A133" s="9" t="s">
        <v>31</v>
      </c>
      <c r="B133" s="10" t="s">
        <v>18</v>
      </c>
      <c r="C133" s="10" t="s">
        <v>65</v>
      </c>
      <c r="D133" s="10" t="n">
        <v>900</v>
      </c>
      <c r="E133" s="11" t="n">
        <f aca="false">IFERROR(_xlfn.MAXIFS('Custos Fornecedores'!$I$2:$I$55,'Custos Fornecedores'!$B$2:$B$55,$A133,'Custos Fornecedores'!$C$2:$C$55,$B133,'Custos Fornecedores'!$A$2:$A$55,"Marfel"),0)</f>
        <v>0.684</v>
      </c>
      <c r="F133" s="11" t="n">
        <f aca="false">IFERROR(_xlfn.MAXIFS('Custos Fornecedores'!$I$2:$I$55,'Custos Fornecedores'!$B$2:$B$55,$A133,'Custos Fornecedores'!$C$2:$C$55,$B133,'Custos Fornecedores'!$A$2:$A$55,"Alquimia"),0)</f>
        <v>0.424</v>
      </c>
      <c r="G133" s="11" t="n">
        <f aca="false">IF(E133=0,F133,IF(F133=0,E133,MAX(E133,F133)))</f>
        <v>0.684</v>
      </c>
      <c r="H133" s="10" t="str">
        <f aca="false">IF(AND(E133=0,F133=0),"SEM DADOS",IF(E133=0,"Alquimia (único)",IF(F133=0,"Marfel (único)",IF(E133&gt;=F133,"Marfel","Alquimia"))))</f>
        <v>Marfel</v>
      </c>
      <c r="I133" s="12" t="n">
        <v>0.3</v>
      </c>
      <c r="J133" s="11" t="n">
        <f aca="false">I133*D133</f>
        <v>270</v>
      </c>
      <c r="K133" s="11" t="n">
        <f aca="false">G133+I133</f>
        <v>0.984</v>
      </c>
      <c r="L133" s="13" t="n">
        <v>0.48</v>
      </c>
      <c r="M133" s="11" t="n">
        <f aca="false">K133*(1+L133)</f>
        <v>1.45632</v>
      </c>
      <c r="N133" s="12" t="n">
        <v>1.46</v>
      </c>
      <c r="O133" s="11" t="n">
        <f aca="false">M133-N133</f>
        <v>-0.00367999999999991</v>
      </c>
      <c r="P133" s="14" t="str">
        <f aca="false">IF(ISNUMBER(SEARCH("único",H133)),"Custo disponível de apenas 1 fornecedor para este tamanho — ver aba Inconsistências.","")</f>
        <v/>
      </c>
    </row>
    <row r="134" customFormat="false" ht="15" hidden="false" customHeight="false" outlineLevel="0" collapsed="false">
      <c r="A134" s="9" t="s">
        <v>31</v>
      </c>
      <c r="B134" s="10" t="s">
        <v>18</v>
      </c>
      <c r="C134" s="10" t="s">
        <v>66</v>
      </c>
      <c r="D134" s="10" t="n">
        <v>1000</v>
      </c>
      <c r="E134" s="11" t="n">
        <f aca="false">IFERROR(_xlfn.MAXIFS('Custos Fornecedores'!$I$2:$I$55,'Custos Fornecedores'!$B$2:$B$55,$A134,'Custos Fornecedores'!$C$2:$C$55,$B134,'Custos Fornecedores'!$A$2:$A$55,"Marfel"),0)</f>
        <v>0.684</v>
      </c>
      <c r="F134" s="11" t="n">
        <f aca="false">IFERROR(_xlfn.MAXIFS('Custos Fornecedores'!$I$2:$I$55,'Custos Fornecedores'!$B$2:$B$55,$A134,'Custos Fornecedores'!$C$2:$C$55,$B134,'Custos Fornecedores'!$A$2:$A$55,"Alquimia"),0)</f>
        <v>0.424</v>
      </c>
      <c r="G134" s="11" t="n">
        <f aca="false">IF(E134=0,F134,IF(F134=0,E134,MAX(E134,F134)))</f>
        <v>0.684</v>
      </c>
      <c r="H134" s="10" t="str">
        <f aca="false">IF(AND(E134=0,F134=0),"SEM DADOS",IF(E134=0,"Alquimia (único)",IF(F134=0,"Marfel (único)",IF(E134&gt;=F134,"Marfel","Alquimia"))))</f>
        <v>Marfel</v>
      </c>
      <c r="I134" s="12" t="n">
        <v>0.3</v>
      </c>
      <c r="J134" s="11" t="n">
        <f aca="false">I134*D134</f>
        <v>300</v>
      </c>
      <c r="K134" s="11" t="n">
        <f aca="false">G134+I134</f>
        <v>0.984</v>
      </c>
      <c r="L134" s="13" t="n">
        <v>0.4</v>
      </c>
      <c r="M134" s="11" t="n">
        <f aca="false">K134*(1+L134)</f>
        <v>1.3776</v>
      </c>
      <c r="N134" s="12" t="n">
        <v>1.38</v>
      </c>
      <c r="O134" s="11" t="n">
        <f aca="false">M134-N134</f>
        <v>-0.00239999999999996</v>
      </c>
      <c r="P134" s="14" t="str">
        <f aca="false">IF(ISNUMBER(SEARCH("único",H134)),"Custo disponível de apenas 1 fornecedor para este tamanho — ver aba Inconsistências.","")</f>
        <v/>
      </c>
    </row>
    <row r="135" customFormat="false" ht="23.85" hidden="false" customHeight="false" outlineLevel="0" collapsed="false">
      <c r="A135" s="9" t="s">
        <v>31</v>
      </c>
      <c r="B135" s="10" t="s">
        <v>19</v>
      </c>
      <c r="C135" s="10" t="s">
        <v>57</v>
      </c>
      <c r="D135" s="10" t="n">
        <v>100</v>
      </c>
      <c r="E135" s="11" t="n">
        <f aca="false">IFERROR(_xlfn.MAXIFS('Custos Fornecedores'!$I$2:$I$55,'Custos Fornecedores'!$B$2:$B$55,$A135,'Custos Fornecedores'!$C$2:$C$55,$B135,'Custos Fornecedores'!$A$2:$A$55,"Marfel"),0)</f>
        <v>1.1115</v>
      </c>
      <c r="F135" s="11" t="n">
        <f aca="false">IFERROR(_xlfn.MAXIFS('Custos Fornecedores'!$I$2:$I$55,'Custos Fornecedores'!$B$2:$B$55,$A135,'Custos Fornecedores'!$C$2:$C$55,$B135,'Custos Fornecedores'!$A$2:$A$55,"Alquimia"),0)</f>
        <v>0</v>
      </c>
      <c r="G135" s="11" t="n">
        <f aca="false">IF(E135=0,F135,IF(F135=0,E135,MAX(E135,F135)))</f>
        <v>1.1115</v>
      </c>
      <c r="H135" s="10" t="str">
        <f aca="false">IF(AND(E135=0,F135=0),"SEM DADOS",IF(E135=0,"Alquimia (único)",IF(F135=0,"Marfel (único)",IF(E135&gt;=F135,"Marfel","Alquimia"))))</f>
        <v>Marfel (único)</v>
      </c>
      <c r="I135" s="12" t="n">
        <v>0.3</v>
      </c>
      <c r="J135" s="11" t="n">
        <f aca="false">I135*D135</f>
        <v>30</v>
      </c>
      <c r="K135" s="11" t="n">
        <f aca="false">G135+I135</f>
        <v>1.4115</v>
      </c>
      <c r="L135" s="13" t="n">
        <v>1</v>
      </c>
      <c r="M135" s="11" t="n">
        <f aca="false">K135*(1+L135)</f>
        <v>2.823</v>
      </c>
      <c r="N135" s="12" t="n">
        <v>2.82</v>
      </c>
      <c r="O135" s="11" t="n">
        <f aca="false">M135-N135</f>
        <v>0.00300000000000011</v>
      </c>
      <c r="P135" s="14" t="str">
        <f aca="false">IF(ISNUMBER(SEARCH("único",H135)),"Custo disponível de apenas 1 fornecedor para este tamanho — ver aba Inconsistências.","")</f>
        <v>Custo disponível de apenas 1 fornecedor para este tamanho — ver aba Inconsistências.</v>
      </c>
    </row>
    <row r="136" customFormat="false" ht="23.85" hidden="false" customHeight="false" outlineLevel="0" collapsed="false">
      <c r="A136" s="9" t="s">
        <v>31</v>
      </c>
      <c r="B136" s="10" t="s">
        <v>19</v>
      </c>
      <c r="C136" s="10" t="s">
        <v>58</v>
      </c>
      <c r="D136" s="10" t="n">
        <v>200</v>
      </c>
      <c r="E136" s="11" t="n">
        <f aca="false">IFERROR(_xlfn.MAXIFS('Custos Fornecedores'!$I$2:$I$55,'Custos Fornecedores'!$B$2:$B$55,$A136,'Custos Fornecedores'!$C$2:$C$55,$B136,'Custos Fornecedores'!$A$2:$A$55,"Marfel"),0)</f>
        <v>1.1115</v>
      </c>
      <c r="F136" s="11" t="n">
        <f aca="false">IFERROR(_xlfn.MAXIFS('Custos Fornecedores'!$I$2:$I$55,'Custos Fornecedores'!$B$2:$B$55,$A136,'Custos Fornecedores'!$C$2:$C$55,$B136,'Custos Fornecedores'!$A$2:$A$55,"Alquimia"),0)</f>
        <v>0</v>
      </c>
      <c r="G136" s="11" t="n">
        <f aca="false">IF(E136=0,F136,IF(F136=0,E136,MAX(E136,F136)))</f>
        <v>1.1115</v>
      </c>
      <c r="H136" s="10" t="str">
        <f aca="false">IF(AND(E136=0,F136=0),"SEM DADOS",IF(E136=0,"Alquimia (único)",IF(F136=0,"Marfel (único)",IF(E136&gt;=F136,"Marfel","Alquimia"))))</f>
        <v>Marfel (único)</v>
      </c>
      <c r="I136" s="12" t="n">
        <v>0.3</v>
      </c>
      <c r="J136" s="11" t="n">
        <f aca="false">I136*D136</f>
        <v>60</v>
      </c>
      <c r="K136" s="11" t="n">
        <f aca="false">G136+I136</f>
        <v>1.4115</v>
      </c>
      <c r="L136" s="13" t="n">
        <v>0.75</v>
      </c>
      <c r="M136" s="11" t="n">
        <f aca="false">K136*(1+L136)</f>
        <v>2.470125</v>
      </c>
      <c r="N136" s="12" t="n">
        <v>2.47</v>
      </c>
      <c r="O136" s="11" t="n">
        <f aca="false">M136-N136</f>
        <v>0.000124999999999709</v>
      </c>
      <c r="P136" s="14" t="str">
        <f aca="false">IF(ISNUMBER(SEARCH("único",H136)),"Custo disponível de apenas 1 fornecedor para este tamanho — ver aba Inconsistências.","")</f>
        <v>Custo disponível de apenas 1 fornecedor para este tamanho — ver aba Inconsistências.</v>
      </c>
    </row>
    <row r="137" customFormat="false" ht="23.85" hidden="false" customHeight="false" outlineLevel="0" collapsed="false">
      <c r="A137" s="9" t="s">
        <v>31</v>
      </c>
      <c r="B137" s="10" t="s">
        <v>19</v>
      </c>
      <c r="C137" s="10" t="s">
        <v>59</v>
      </c>
      <c r="D137" s="10" t="n">
        <v>300</v>
      </c>
      <c r="E137" s="11" t="n">
        <f aca="false">IFERROR(_xlfn.MAXIFS('Custos Fornecedores'!$I$2:$I$55,'Custos Fornecedores'!$B$2:$B$55,$A137,'Custos Fornecedores'!$C$2:$C$55,$B137,'Custos Fornecedores'!$A$2:$A$55,"Marfel"),0)</f>
        <v>1.1115</v>
      </c>
      <c r="F137" s="11" t="n">
        <f aca="false">IFERROR(_xlfn.MAXIFS('Custos Fornecedores'!$I$2:$I$55,'Custos Fornecedores'!$B$2:$B$55,$A137,'Custos Fornecedores'!$C$2:$C$55,$B137,'Custos Fornecedores'!$A$2:$A$55,"Alquimia"),0)</f>
        <v>0</v>
      </c>
      <c r="G137" s="11" t="n">
        <f aca="false">IF(E137=0,F137,IF(F137=0,E137,MAX(E137,F137)))</f>
        <v>1.1115</v>
      </c>
      <c r="H137" s="10" t="str">
        <f aca="false">IF(AND(E137=0,F137=0),"SEM DADOS",IF(E137=0,"Alquimia (único)",IF(F137=0,"Marfel (único)",IF(E137&gt;=F137,"Marfel","Alquimia"))))</f>
        <v>Marfel (único)</v>
      </c>
      <c r="I137" s="12" t="n">
        <v>0.3</v>
      </c>
      <c r="J137" s="11" t="n">
        <f aca="false">I137*D137</f>
        <v>90</v>
      </c>
      <c r="K137" s="11" t="n">
        <f aca="false">G137+I137</f>
        <v>1.4115</v>
      </c>
      <c r="L137" s="13" t="n">
        <v>0.7</v>
      </c>
      <c r="M137" s="11" t="n">
        <f aca="false">K137*(1+L137)</f>
        <v>2.39955</v>
      </c>
      <c r="N137" s="12" t="n">
        <v>2.4</v>
      </c>
      <c r="O137" s="11" t="n">
        <f aca="false">M137-N137</f>
        <v>-0.000449999999999839</v>
      </c>
      <c r="P137" s="14" t="str">
        <f aca="false">IF(ISNUMBER(SEARCH("único",H137)),"Custo disponível de apenas 1 fornecedor para este tamanho — ver aba Inconsistências.","")</f>
        <v>Custo disponível de apenas 1 fornecedor para este tamanho — ver aba Inconsistências.</v>
      </c>
    </row>
    <row r="138" customFormat="false" ht="23.85" hidden="false" customHeight="false" outlineLevel="0" collapsed="false">
      <c r="A138" s="9" t="s">
        <v>31</v>
      </c>
      <c r="B138" s="10" t="s">
        <v>19</v>
      </c>
      <c r="C138" s="10" t="s">
        <v>60</v>
      </c>
      <c r="D138" s="10" t="n">
        <v>400</v>
      </c>
      <c r="E138" s="11" t="n">
        <f aca="false">IFERROR(_xlfn.MAXIFS('Custos Fornecedores'!$I$2:$I$55,'Custos Fornecedores'!$B$2:$B$55,$A138,'Custos Fornecedores'!$C$2:$C$55,$B138,'Custos Fornecedores'!$A$2:$A$55,"Marfel"),0)</f>
        <v>1.1115</v>
      </c>
      <c r="F138" s="11" t="n">
        <f aca="false">IFERROR(_xlfn.MAXIFS('Custos Fornecedores'!$I$2:$I$55,'Custos Fornecedores'!$B$2:$B$55,$A138,'Custos Fornecedores'!$C$2:$C$55,$B138,'Custos Fornecedores'!$A$2:$A$55,"Alquimia"),0)</f>
        <v>0</v>
      </c>
      <c r="G138" s="11" t="n">
        <f aca="false">IF(E138=0,F138,IF(F138=0,E138,MAX(E138,F138)))</f>
        <v>1.1115</v>
      </c>
      <c r="H138" s="10" t="str">
        <f aca="false">IF(AND(E138=0,F138=0),"SEM DADOS",IF(E138=0,"Alquimia (único)",IF(F138=0,"Marfel (único)",IF(E138&gt;=F138,"Marfel","Alquimia"))))</f>
        <v>Marfel (único)</v>
      </c>
      <c r="I138" s="12" t="n">
        <v>0.3</v>
      </c>
      <c r="J138" s="11" t="n">
        <f aca="false">I138*D138</f>
        <v>120</v>
      </c>
      <c r="K138" s="11" t="n">
        <f aca="false">G138+I138</f>
        <v>1.4115</v>
      </c>
      <c r="L138" s="13" t="n">
        <v>0.65</v>
      </c>
      <c r="M138" s="11" t="n">
        <f aca="false">K138*(1+L138)</f>
        <v>2.328975</v>
      </c>
      <c r="N138" s="12" t="n">
        <v>2.33</v>
      </c>
      <c r="O138" s="11" t="n">
        <f aca="false">M138-N138</f>
        <v>-0.00102500000000028</v>
      </c>
      <c r="P138" s="14" t="str">
        <f aca="false">IF(ISNUMBER(SEARCH("único",H138)),"Custo disponível de apenas 1 fornecedor para este tamanho — ver aba Inconsistências.","")</f>
        <v>Custo disponível de apenas 1 fornecedor para este tamanho — ver aba Inconsistências.</v>
      </c>
    </row>
    <row r="139" customFormat="false" ht="23.85" hidden="false" customHeight="false" outlineLevel="0" collapsed="false">
      <c r="A139" s="9" t="s">
        <v>31</v>
      </c>
      <c r="B139" s="10" t="s">
        <v>19</v>
      </c>
      <c r="C139" s="10" t="s">
        <v>61</v>
      </c>
      <c r="D139" s="10" t="n">
        <v>500</v>
      </c>
      <c r="E139" s="11" t="n">
        <f aca="false">IFERROR(_xlfn.MAXIFS('Custos Fornecedores'!$I$2:$I$55,'Custos Fornecedores'!$B$2:$B$55,$A139,'Custos Fornecedores'!$C$2:$C$55,$B139,'Custos Fornecedores'!$A$2:$A$55,"Marfel"),0)</f>
        <v>1.1115</v>
      </c>
      <c r="F139" s="11" t="n">
        <f aca="false">IFERROR(_xlfn.MAXIFS('Custos Fornecedores'!$I$2:$I$55,'Custos Fornecedores'!$B$2:$B$55,$A139,'Custos Fornecedores'!$C$2:$C$55,$B139,'Custos Fornecedores'!$A$2:$A$55,"Alquimia"),0)</f>
        <v>0</v>
      </c>
      <c r="G139" s="11" t="n">
        <f aca="false">IF(E139=0,F139,IF(F139=0,E139,MAX(E139,F139)))</f>
        <v>1.1115</v>
      </c>
      <c r="H139" s="10" t="str">
        <f aca="false">IF(AND(E139=0,F139=0),"SEM DADOS",IF(E139=0,"Alquimia (único)",IF(F139=0,"Marfel (único)",IF(E139&gt;=F139,"Marfel","Alquimia"))))</f>
        <v>Marfel (único)</v>
      </c>
      <c r="I139" s="12" t="n">
        <v>0.3</v>
      </c>
      <c r="J139" s="11" t="n">
        <f aca="false">I139*D139</f>
        <v>150</v>
      </c>
      <c r="K139" s="11" t="n">
        <f aca="false">G139+I139</f>
        <v>1.4115</v>
      </c>
      <c r="L139" s="13" t="n">
        <v>0.6</v>
      </c>
      <c r="M139" s="11" t="n">
        <f aca="false">K139*(1+L139)</f>
        <v>2.2584</v>
      </c>
      <c r="N139" s="12" t="n">
        <v>2.26</v>
      </c>
      <c r="O139" s="11" t="n">
        <f aca="false">M139-N139</f>
        <v>-0.00159999999999982</v>
      </c>
      <c r="P139" s="14" t="str">
        <f aca="false">IF(ISNUMBER(SEARCH("único",H139)),"Custo disponível de apenas 1 fornecedor para este tamanho — ver aba Inconsistências.","")</f>
        <v>Custo disponível de apenas 1 fornecedor para este tamanho — ver aba Inconsistências.</v>
      </c>
    </row>
    <row r="140" customFormat="false" ht="23.85" hidden="false" customHeight="false" outlineLevel="0" collapsed="false">
      <c r="A140" s="9" t="s">
        <v>31</v>
      </c>
      <c r="B140" s="10" t="s">
        <v>19</v>
      </c>
      <c r="C140" s="10" t="s">
        <v>62</v>
      </c>
      <c r="D140" s="10" t="n">
        <v>600</v>
      </c>
      <c r="E140" s="11" t="n">
        <f aca="false">IFERROR(_xlfn.MAXIFS('Custos Fornecedores'!$I$2:$I$55,'Custos Fornecedores'!$B$2:$B$55,$A140,'Custos Fornecedores'!$C$2:$C$55,$B140,'Custos Fornecedores'!$A$2:$A$55,"Marfel"),0)</f>
        <v>1.1115</v>
      </c>
      <c r="F140" s="11" t="n">
        <f aca="false">IFERROR(_xlfn.MAXIFS('Custos Fornecedores'!$I$2:$I$55,'Custos Fornecedores'!$B$2:$B$55,$A140,'Custos Fornecedores'!$C$2:$C$55,$B140,'Custos Fornecedores'!$A$2:$A$55,"Alquimia"),0)</f>
        <v>0</v>
      </c>
      <c r="G140" s="11" t="n">
        <f aca="false">IF(E140=0,F140,IF(F140=0,E140,MAX(E140,F140)))</f>
        <v>1.1115</v>
      </c>
      <c r="H140" s="10" t="str">
        <f aca="false">IF(AND(E140=0,F140=0),"SEM DADOS",IF(E140=0,"Alquimia (único)",IF(F140=0,"Marfel (único)",IF(E140&gt;=F140,"Marfel","Alquimia"))))</f>
        <v>Marfel (único)</v>
      </c>
      <c r="I140" s="12" t="n">
        <v>0.3</v>
      </c>
      <c r="J140" s="11" t="n">
        <f aca="false">I140*D140</f>
        <v>180</v>
      </c>
      <c r="K140" s="11" t="n">
        <f aca="false">G140+I140</f>
        <v>1.4115</v>
      </c>
      <c r="L140" s="13" t="n">
        <v>0.57</v>
      </c>
      <c r="M140" s="11" t="n">
        <f aca="false">K140*(1+L140)</f>
        <v>2.216055</v>
      </c>
      <c r="N140" s="12" t="n">
        <v>2.22</v>
      </c>
      <c r="O140" s="11" t="n">
        <f aca="false">M140-N140</f>
        <v>-0.00394500000000031</v>
      </c>
      <c r="P140" s="14" t="str">
        <f aca="false">IF(ISNUMBER(SEARCH("único",H140)),"Custo disponível de apenas 1 fornecedor para este tamanho — ver aba Inconsistências.","")</f>
        <v>Custo disponível de apenas 1 fornecedor para este tamanho — ver aba Inconsistências.</v>
      </c>
    </row>
    <row r="141" customFormat="false" ht="23.85" hidden="false" customHeight="false" outlineLevel="0" collapsed="false">
      <c r="A141" s="9" t="s">
        <v>31</v>
      </c>
      <c r="B141" s="10" t="s">
        <v>19</v>
      </c>
      <c r="C141" s="10" t="s">
        <v>63</v>
      </c>
      <c r="D141" s="10" t="n">
        <v>700</v>
      </c>
      <c r="E141" s="11" t="n">
        <f aca="false">IFERROR(_xlfn.MAXIFS('Custos Fornecedores'!$I$2:$I$55,'Custos Fornecedores'!$B$2:$B$55,$A141,'Custos Fornecedores'!$C$2:$C$55,$B141,'Custos Fornecedores'!$A$2:$A$55,"Marfel"),0)</f>
        <v>1.1115</v>
      </c>
      <c r="F141" s="11" t="n">
        <f aca="false">IFERROR(_xlfn.MAXIFS('Custos Fornecedores'!$I$2:$I$55,'Custos Fornecedores'!$B$2:$B$55,$A141,'Custos Fornecedores'!$C$2:$C$55,$B141,'Custos Fornecedores'!$A$2:$A$55,"Alquimia"),0)</f>
        <v>0</v>
      </c>
      <c r="G141" s="11" t="n">
        <f aca="false">IF(E141=0,F141,IF(F141=0,E141,MAX(E141,F141)))</f>
        <v>1.1115</v>
      </c>
      <c r="H141" s="10" t="str">
        <f aca="false">IF(AND(E141=0,F141=0),"SEM DADOS",IF(E141=0,"Alquimia (único)",IF(F141=0,"Marfel (único)",IF(E141&gt;=F141,"Marfel","Alquimia"))))</f>
        <v>Marfel (único)</v>
      </c>
      <c r="I141" s="12" t="n">
        <v>0.3</v>
      </c>
      <c r="J141" s="11" t="n">
        <f aca="false">I141*D141</f>
        <v>210</v>
      </c>
      <c r="K141" s="11" t="n">
        <f aca="false">G141+I141</f>
        <v>1.4115</v>
      </c>
      <c r="L141" s="13" t="n">
        <v>0.54</v>
      </c>
      <c r="M141" s="11" t="n">
        <f aca="false">K141*(1+L141)</f>
        <v>2.17371</v>
      </c>
      <c r="N141" s="12" t="n">
        <v>2.17</v>
      </c>
      <c r="O141" s="11" t="n">
        <f aca="false">M141-N141</f>
        <v>0.00370999999999988</v>
      </c>
      <c r="P141" s="14" t="str">
        <f aca="false">IF(ISNUMBER(SEARCH("único",H141)),"Custo disponível de apenas 1 fornecedor para este tamanho — ver aba Inconsistências.","")</f>
        <v>Custo disponível de apenas 1 fornecedor para este tamanho — ver aba Inconsistências.</v>
      </c>
    </row>
    <row r="142" customFormat="false" ht="23.85" hidden="false" customHeight="false" outlineLevel="0" collapsed="false">
      <c r="A142" s="9" t="s">
        <v>31</v>
      </c>
      <c r="B142" s="10" t="s">
        <v>19</v>
      </c>
      <c r="C142" s="10" t="s">
        <v>64</v>
      </c>
      <c r="D142" s="10" t="n">
        <v>800</v>
      </c>
      <c r="E142" s="11" t="n">
        <f aca="false">IFERROR(_xlfn.MAXIFS('Custos Fornecedores'!$I$2:$I$55,'Custos Fornecedores'!$B$2:$B$55,$A142,'Custos Fornecedores'!$C$2:$C$55,$B142,'Custos Fornecedores'!$A$2:$A$55,"Marfel"),0)</f>
        <v>1.1115</v>
      </c>
      <c r="F142" s="11" t="n">
        <f aca="false">IFERROR(_xlfn.MAXIFS('Custos Fornecedores'!$I$2:$I$55,'Custos Fornecedores'!$B$2:$B$55,$A142,'Custos Fornecedores'!$C$2:$C$55,$B142,'Custos Fornecedores'!$A$2:$A$55,"Alquimia"),0)</f>
        <v>0</v>
      </c>
      <c r="G142" s="11" t="n">
        <f aca="false">IF(E142=0,F142,IF(F142=0,E142,MAX(E142,F142)))</f>
        <v>1.1115</v>
      </c>
      <c r="H142" s="10" t="str">
        <f aca="false">IF(AND(E142=0,F142=0),"SEM DADOS",IF(E142=0,"Alquimia (único)",IF(F142=0,"Marfel (único)",IF(E142&gt;=F142,"Marfel","Alquimia"))))</f>
        <v>Marfel (único)</v>
      </c>
      <c r="I142" s="12" t="n">
        <v>0.3</v>
      </c>
      <c r="J142" s="11" t="n">
        <f aca="false">I142*D142</f>
        <v>240</v>
      </c>
      <c r="K142" s="11" t="n">
        <f aca="false">G142+I142</f>
        <v>1.4115</v>
      </c>
      <c r="L142" s="13" t="n">
        <v>0.51</v>
      </c>
      <c r="M142" s="11" t="n">
        <f aca="false">K142*(1+L142)</f>
        <v>2.131365</v>
      </c>
      <c r="N142" s="12" t="n">
        <v>2.13</v>
      </c>
      <c r="O142" s="11" t="n">
        <f aca="false">M142-N142</f>
        <v>0.00136500000000028</v>
      </c>
      <c r="P142" s="14" t="str">
        <f aca="false">IF(ISNUMBER(SEARCH("único",H142)),"Custo disponível de apenas 1 fornecedor para este tamanho — ver aba Inconsistências.","")</f>
        <v>Custo disponível de apenas 1 fornecedor para este tamanho — ver aba Inconsistências.</v>
      </c>
    </row>
    <row r="143" customFormat="false" ht="23.85" hidden="false" customHeight="false" outlineLevel="0" collapsed="false">
      <c r="A143" s="9" t="s">
        <v>31</v>
      </c>
      <c r="B143" s="10" t="s">
        <v>19</v>
      </c>
      <c r="C143" s="10" t="s">
        <v>65</v>
      </c>
      <c r="D143" s="10" t="n">
        <v>900</v>
      </c>
      <c r="E143" s="11" t="n">
        <f aca="false">IFERROR(_xlfn.MAXIFS('Custos Fornecedores'!$I$2:$I$55,'Custos Fornecedores'!$B$2:$B$55,$A143,'Custos Fornecedores'!$C$2:$C$55,$B143,'Custos Fornecedores'!$A$2:$A$55,"Marfel"),0)</f>
        <v>1.1115</v>
      </c>
      <c r="F143" s="11" t="n">
        <f aca="false">IFERROR(_xlfn.MAXIFS('Custos Fornecedores'!$I$2:$I$55,'Custos Fornecedores'!$B$2:$B$55,$A143,'Custos Fornecedores'!$C$2:$C$55,$B143,'Custos Fornecedores'!$A$2:$A$55,"Alquimia"),0)</f>
        <v>0</v>
      </c>
      <c r="G143" s="11" t="n">
        <f aca="false">IF(E143=0,F143,IF(F143=0,E143,MAX(E143,F143)))</f>
        <v>1.1115</v>
      </c>
      <c r="H143" s="10" t="str">
        <f aca="false">IF(AND(E143=0,F143=0),"SEM DADOS",IF(E143=0,"Alquimia (único)",IF(F143=0,"Marfel (único)",IF(E143&gt;=F143,"Marfel","Alquimia"))))</f>
        <v>Marfel (único)</v>
      </c>
      <c r="I143" s="12" t="n">
        <v>0.3</v>
      </c>
      <c r="J143" s="11" t="n">
        <f aca="false">I143*D143</f>
        <v>270</v>
      </c>
      <c r="K143" s="11" t="n">
        <f aca="false">G143+I143</f>
        <v>1.4115</v>
      </c>
      <c r="L143" s="13" t="n">
        <v>0.48</v>
      </c>
      <c r="M143" s="11" t="n">
        <f aca="false">K143*(1+L143)</f>
        <v>2.08902</v>
      </c>
      <c r="N143" s="12" t="n">
        <v>2.09</v>
      </c>
      <c r="O143" s="11" t="n">
        <f aca="false">M143-N143</f>
        <v>-0.000979999999999759</v>
      </c>
      <c r="P143" s="14" t="str">
        <f aca="false">IF(ISNUMBER(SEARCH("único",H143)),"Custo disponível de apenas 1 fornecedor para este tamanho — ver aba Inconsistências.","")</f>
        <v>Custo disponível de apenas 1 fornecedor para este tamanho — ver aba Inconsistências.</v>
      </c>
    </row>
    <row r="144" customFormat="false" ht="23.85" hidden="false" customHeight="false" outlineLevel="0" collapsed="false">
      <c r="A144" s="9" t="s">
        <v>31</v>
      </c>
      <c r="B144" s="10" t="s">
        <v>19</v>
      </c>
      <c r="C144" s="10" t="s">
        <v>66</v>
      </c>
      <c r="D144" s="10" t="n">
        <v>1000</v>
      </c>
      <c r="E144" s="11" t="n">
        <f aca="false">IFERROR(_xlfn.MAXIFS('Custos Fornecedores'!$I$2:$I$55,'Custos Fornecedores'!$B$2:$B$55,$A144,'Custos Fornecedores'!$C$2:$C$55,$B144,'Custos Fornecedores'!$A$2:$A$55,"Marfel"),0)</f>
        <v>1.1115</v>
      </c>
      <c r="F144" s="11" t="n">
        <f aca="false">IFERROR(_xlfn.MAXIFS('Custos Fornecedores'!$I$2:$I$55,'Custos Fornecedores'!$B$2:$B$55,$A144,'Custos Fornecedores'!$C$2:$C$55,$B144,'Custos Fornecedores'!$A$2:$A$55,"Alquimia"),0)</f>
        <v>0</v>
      </c>
      <c r="G144" s="11" t="n">
        <f aca="false">IF(E144=0,F144,IF(F144=0,E144,MAX(E144,F144)))</f>
        <v>1.1115</v>
      </c>
      <c r="H144" s="10" t="str">
        <f aca="false">IF(AND(E144=0,F144=0),"SEM DADOS",IF(E144=0,"Alquimia (único)",IF(F144=0,"Marfel (único)",IF(E144&gt;=F144,"Marfel","Alquimia"))))</f>
        <v>Marfel (único)</v>
      </c>
      <c r="I144" s="12" t="n">
        <v>0.3</v>
      </c>
      <c r="J144" s="11" t="n">
        <f aca="false">I144*D144</f>
        <v>300</v>
      </c>
      <c r="K144" s="11" t="n">
        <f aca="false">G144+I144</f>
        <v>1.4115</v>
      </c>
      <c r="L144" s="13" t="n">
        <v>0.4</v>
      </c>
      <c r="M144" s="11" t="n">
        <f aca="false">K144*(1+L144)</f>
        <v>1.9761</v>
      </c>
      <c r="N144" s="12" t="n">
        <v>1.98</v>
      </c>
      <c r="O144" s="11" t="n">
        <f aca="false">M144-N144</f>
        <v>-0.00390000000000024</v>
      </c>
      <c r="P144" s="14" t="str">
        <f aca="false">IF(ISNUMBER(SEARCH("único",H144)),"Custo disponível de apenas 1 fornecedor para este tamanho — ver aba Inconsistências.","")</f>
        <v>Custo disponível de apenas 1 fornecedor para este tamanho — ver aba Inconsistências.</v>
      </c>
    </row>
    <row r="145" customFormat="false" ht="23.85" hidden="false" customHeight="false" outlineLevel="0" collapsed="false">
      <c r="A145" s="9" t="s">
        <v>31</v>
      </c>
      <c r="B145" s="10" t="s">
        <v>38</v>
      </c>
      <c r="C145" s="10" t="s">
        <v>57</v>
      </c>
      <c r="D145" s="10" t="n">
        <v>100</v>
      </c>
      <c r="E145" s="11" t="n">
        <f aca="false">IFERROR(_xlfn.MAXIFS('Custos Fornecedores'!$I$2:$I$55,'Custos Fornecedores'!$B$2:$B$55,$A145,'Custos Fornecedores'!$C$2:$C$55,$B145,'Custos Fornecedores'!$A$2:$A$55,"Marfel"),0)</f>
        <v>0</v>
      </c>
      <c r="F145" s="11" t="n">
        <f aca="false">IFERROR(_xlfn.MAXIFS('Custos Fornecedores'!$I$2:$I$55,'Custos Fornecedores'!$B$2:$B$55,$A145,'Custos Fornecedores'!$C$2:$C$55,$B145,'Custos Fornecedores'!$A$2:$A$55,"Alquimia"),0)</f>
        <v>0.795</v>
      </c>
      <c r="G145" s="11" t="n">
        <f aca="false">IF(E145=0,F145,IF(F145=0,E145,MAX(E145,F145)))</f>
        <v>0.795</v>
      </c>
      <c r="H145" s="10" t="str">
        <f aca="false">IF(AND(E145=0,F145=0),"SEM DADOS",IF(E145=0,"Alquimia (único)",IF(F145=0,"Marfel (único)",IF(E145&gt;=F145,"Marfel","Alquimia"))))</f>
        <v>Alquimia (único)</v>
      </c>
      <c r="I145" s="12" t="n">
        <v>0.3</v>
      </c>
      <c r="J145" s="11" t="n">
        <f aca="false">I145*D145</f>
        <v>30</v>
      </c>
      <c r="K145" s="11" t="n">
        <f aca="false">G145+I145</f>
        <v>1.095</v>
      </c>
      <c r="L145" s="13" t="n">
        <v>1</v>
      </c>
      <c r="M145" s="11" t="n">
        <f aca="false">K145*(1+L145)</f>
        <v>2.19</v>
      </c>
      <c r="N145" s="12" t="n">
        <v>2.12</v>
      </c>
      <c r="O145" s="11" t="n">
        <f aca="false">M145-N145</f>
        <v>0.0699999999999998</v>
      </c>
      <c r="P145" s="14" t="str">
        <f aca="false">IF(ISNUMBER(SEARCH("único",H145)),"Custo disponível de apenas 1 fornecedor para este tamanho — ver aba Inconsistências.","")</f>
        <v>Custo disponível de apenas 1 fornecedor para este tamanho — ver aba Inconsistências.</v>
      </c>
    </row>
    <row r="146" customFormat="false" ht="23.85" hidden="false" customHeight="false" outlineLevel="0" collapsed="false">
      <c r="A146" s="9" t="s">
        <v>31</v>
      </c>
      <c r="B146" s="10" t="s">
        <v>38</v>
      </c>
      <c r="C146" s="10" t="s">
        <v>58</v>
      </c>
      <c r="D146" s="10" t="n">
        <v>200</v>
      </c>
      <c r="E146" s="11" t="n">
        <f aca="false">IFERROR(_xlfn.MAXIFS('Custos Fornecedores'!$I$2:$I$55,'Custos Fornecedores'!$B$2:$B$55,$A146,'Custos Fornecedores'!$C$2:$C$55,$B146,'Custos Fornecedores'!$A$2:$A$55,"Marfel"),0)</f>
        <v>0</v>
      </c>
      <c r="F146" s="11" t="n">
        <f aca="false">IFERROR(_xlfn.MAXIFS('Custos Fornecedores'!$I$2:$I$55,'Custos Fornecedores'!$B$2:$B$55,$A146,'Custos Fornecedores'!$C$2:$C$55,$B146,'Custos Fornecedores'!$A$2:$A$55,"Alquimia"),0)</f>
        <v>0.795</v>
      </c>
      <c r="G146" s="11" t="n">
        <f aca="false">IF(E146=0,F146,IF(F146=0,E146,MAX(E146,F146)))</f>
        <v>0.795</v>
      </c>
      <c r="H146" s="10" t="str">
        <f aca="false">IF(AND(E146=0,F146=0),"SEM DADOS",IF(E146=0,"Alquimia (único)",IF(F146=0,"Marfel (único)",IF(E146&gt;=F146,"Marfel","Alquimia"))))</f>
        <v>Alquimia (único)</v>
      </c>
      <c r="I146" s="12" t="n">
        <v>0.3</v>
      </c>
      <c r="J146" s="11" t="n">
        <f aca="false">I146*D146</f>
        <v>60</v>
      </c>
      <c r="K146" s="11" t="n">
        <f aca="false">G146+I146</f>
        <v>1.095</v>
      </c>
      <c r="L146" s="13" t="n">
        <v>0.75</v>
      </c>
      <c r="M146" s="11" t="n">
        <f aca="false">K146*(1+L146)</f>
        <v>1.91625</v>
      </c>
      <c r="N146" s="12" t="n">
        <v>1.85</v>
      </c>
      <c r="O146" s="11" t="n">
        <f aca="false">M146-N146</f>
        <v>0.0662499999999999</v>
      </c>
      <c r="P146" s="14" t="str">
        <f aca="false">IF(ISNUMBER(SEARCH("único",H146)),"Custo disponível de apenas 1 fornecedor para este tamanho — ver aba Inconsistências.","")</f>
        <v>Custo disponível de apenas 1 fornecedor para este tamanho — ver aba Inconsistências.</v>
      </c>
    </row>
    <row r="147" customFormat="false" ht="23.85" hidden="false" customHeight="false" outlineLevel="0" collapsed="false">
      <c r="A147" s="9" t="s">
        <v>31</v>
      </c>
      <c r="B147" s="10" t="s">
        <v>38</v>
      </c>
      <c r="C147" s="10" t="s">
        <v>59</v>
      </c>
      <c r="D147" s="10" t="n">
        <v>300</v>
      </c>
      <c r="E147" s="11" t="n">
        <f aca="false">IFERROR(_xlfn.MAXIFS('Custos Fornecedores'!$I$2:$I$55,'Custos Fornecedores'!$B$2:$B$55,$A147,'Custos Fornecedores'!$C$2:$C$55,$B147,'Custos Fornecedores'!$A$2:$A$55,"Marfel"),0)</f>
        <v>0</v>
      </c>
      <c r="F147" s="11" t="n">
        <f aca="false">IFERROR(_xlfn.MAXIFS('Custos Fornecedores'!$I$2:$I$55,'Custos Fornecedores'!$B$2:$B$55,$A147,'Custos Fornecedores'!$C$2:$C$55,$B147,'Custos Fornecedores'!$A$2:$A$55,"Alquimia"),0)</f>
        <v>0.795</v>
      </c>
      <c r="G147" s="11" t="n">
        <f aca="false">IF(E147=0,F147,IF(F147=0,E147,MAX(E147,F147)))</f>
        <v>0.795</v>
      </c>
      <c r="H147" s="10" t="str">
        <f aca="false">IF(AND(E147=0,F147=0),"SEM DADOS",IF(E147=0,"Alquimia (único)",IF(F147=0,"Marfel (único)",IF(E147&gt;=F147,"Marfel","Alquimia"))))</f>
        <v>Alquimia (único)</v>
      </c>
      <c r="I147" s="12" t="n">
        <v>0.3</v>
      </c>
      <c r="J147" s="11" t="n">
        <f aca="false">I147*D147</f>
        <v>90</v>
      </c>
      <c r="K147" s="11" t="n">
        <f aca="false">G147+I147</f>
        <v>1.095</v>
      </c>
      <c r="L147" s="13" t="n">
        <v>0.7</v>
      </c>
      <c r="M147" s="11" t="n">
        <f aca="false">K147*(1+L147)</f>
        <v>1.8615</v>
      </c>
      <c r="N147" s="12" t="n">
        <v>1.8</v>
      </c>
      <c r="O147" s="11" t="n">
        <f aca="false">M147-N147</f>
        <v>0.0614999999999999</v>
      </c>
      <c r="P147" s="14" t="str">
        <f aca="false">IF(ISNUMBER(SEARCH("único",H147)),"Custo disponível de apenas 1 fornecedor para este tamanho — ver aba Inconsistências.","")</f>
        <v>Custo disponível de apenas 1 fornecedor para este tamanho — ver aba Inconsistências.</v>
      </c>
    </row>
    <row r="148" customFormat="false" ht="23.85" hidden="false" customHeight="false" outlineLevel="0" collapsed="false">
      <c r="A148" s="9" t="s">
        <v>31</v>
      </c>
      <c r="B148" s="10" t="s">
        <v>38</v>
      </c>
      <c r="C148" s="10" t="s">
        <v>60</v>
      </c>
      <c r="D148" s="10" t="n">
        <v>400</v>
      </c>
      <c r="E148" s="11" t="n">
        <f aca="false">IFERROR(_xlfn.MAXIFS('Custos Fornecedores'!$I$2:$I$55,'Custos Fornecedores'!$B$2:$B$55,$A148,'Custos Fornecedores'!$C$2:$C$55,$B148,'Custos Fornecedores'!$A$2:$A$55,"Marfel"),0)</f>
        <v>0</v>
      </c>
      <c r="F148" s="11" t="n">
        <f aca="false">IFERROR(_xlfn.MAXIFS('Custos Fornecedores'!$I$2:$I$55,'Custos Fornecedores'!$B$2:$B$55,$A148,'Custos Fornecedores'!$C$2:$C$55,$B148,'Custos Fornecedores'!$A$2:$A$55,"Alquimia"),0)</f>
        <v>0.795</v>
      </c>
      <c r="G148" s="11" t="n">
        <f aca="false">IF(E148=0,F148,IF(F148=0,E148,MAX(E148,F148)))</f>
        <v>0.795</v>
      </c>
      <c r="H148" s="10" t="str">
        <f aca="false">IF(AND(E148=0,F148=0),"SEM DADOS",IF(E148=0,"Alquimia (único)",IF(F148=0,"Marfel (único)",IF(E148&gt;=F148,"Marfel","Alquimia"))))</f>
        <v>Alquimia (único)</v>
      </c>
      <c r="I148" s="12" t="n">
        <v>0.3</v>
      </c>
      <c r="J148" s="11" t="n">
        <f aca="false">I148*D148</f>
        <v>120</v>
      </c>
      <c r="K148" s="11" t="n">
        <f aca="false">G148+I148</f>
        <v>1.095</v>
      </c>
      <c r="L148" s="13" t="n">
        <v>0.65</v>
      </c>
      <c r="M148" s="11" t="n">
        <f aca="false">K148*(1+L148)</f>
        <v>1.80675</v>
      </c>
      <c r="N148" s="12" t="n">
        <v>1.75</v>
      </c>
      <c r="O148" s="11" t="n">
        <f aca="false">M148-N148</f>
        <v>0.0567499999999999</v>
      </c>
      <c r="P148" s="14" t="str">
        <f aca="false">IF(ISNUMBER(SEARCH("único",H148)),"Custo disponível de apenas 1 fornecedor para este tamanho — ver aba Inconsistências.","")</f>
        <v>Custo disponível de apenas 1 fornecedor para este tamanho — ver aba Inconsistências.</v>
      </c>
    </row>
    <row r="149" customFormat="false" ht="23.85" hidden="false" customHeight="false" outlineLevel="0" collapsed="false">
      <c r="A149" s="9" t="s">
        <v>31</v>
      </c>
      <c r="B149" s="10" t="s">
        <v>38</v>
      </c>
      <c r="C149" s="10" t="s">
        <v>61</v>
      </c>
      <c r="D149" s="10" t="n">
        <v>500</v>
      </c>
      <c r="E149" s="11" t="n">
        <f aca="false">IFERROR(_xlfn.MAXIFS('Custos Fornecedores'!$I$2:$I$55,'Custos Fornecedores'!$B$2:$B$55,$A149,'Custos Fornecedores'!$C$2:$C$55,$B149,'Custos Fornecedores'!$A$2:$A$55,"Marfel"),0)</f>
        <v>0</v>
      </c>
      <c r="F149" s="11" t="n">
        <f aca="false">IFERROR(_xlfn.MAXIFS('Custos Fornecedores'!$I$2:$I$55,'Custos Fornecedores'!$B$2:$B$55,$A149,'Custos Fornecedores'!$C$2:$C$55,$B149,'Custos Fornecedores'!$A$2:$A$55,"Alquimia"),0)</f>
        <v>0.795</v>
      </c>
      <c r="G149" s="11" t="n">
        <f aca="false">IF(E149=0,F149,IF(F149=0,E149,MAX(E149,F149)))</f>
        <v>0.795</v>
      </c>
      <c r="H149" s="10" t="str">
        <f aca="false">IF(AND(E149=0,F149=0),"SEM DADOS",IF(E149=0,"Alquimia (único)",IF(F149=0,"Marfel (único)",IF(E149&gt;=F149,"Marfel","Alquimia"))))</f>
        <v>Alquimia (único)</v>
      </c>
      <c r="I149" s="12" t="n">
        <v>0.3</v>
      </c>
      <c r="J149" s="11" t="n">
        <f aca="false">I149*D149</f>
        <v>150</v>
      </c>
      <c r="K149" s="11" t="n">
        <f aca="false">G149+I149</f>
        <v>1.095</v>
      </c>
      <c r="L149" s="13" t="n">
        <v>0.6</v>
      </c>
      <c r="M149" s="11" t="n">
        <f aca="false">K149*(1+L149)</f>
        <v>1.752</v>
      </c>
      <c r="N149" s="12" t="n">
        <v>1.69</v>
      </c>
      <c r="O149" s="11" t="n">
        <f aca="false">M149-N149</f>
        <v>0.0620000000000001</v>
      </c>
      <c r="P149" s="14" t="str">
        <f aca="false">IF(ISNUMBER(SEARCH("único",H149)),"Custo disponível de apenas 1 fornecedor para este tamanho — ver aba Inconsistências.","")</f>
        <v>Custo disponível de apenas 1 fornecedor para este tamanho — ver aba Inconsistências.</v>
      </c>
    </row>
    <row r="150" customFormat="false" ht="23.85" hidden="false" customHeight="false" outlineLevel="0" collapsed="false">
      <c r="A150" s="9" t="s">
        <v>31</v>
      </c>
      <c r="B150" s="10" t="s">
        <v>38</v>
      </c>
      <c r="C150" s="10" t="s">
        <v>62</v>
      </c>
      <c r="D150" s="10" t="n">
        <v>600</v>
      </c>
      <c r="E150" s="11" t="n">
        <f aca="false">IFERROR(_xlfn.MAXIFS('Custos Fornecedores'!$I$2:$I$55,'Custos Fornecedores'!$B$2:$B$55,$A150,'Custos Fornecedores'!$C$2:$C$55,$B150,'Custos Fornecedores'!$A$2:$A$55,"Marfel"),0)</f>
        <v>0</v>
      </c>
      <c r="F150" s="11" t="n">
        <f aca="false">IFERROR(_xlfn.MAXIFS('Custos Fornecedores'!$I$2:$I$55,'Custos Fornecedores'!$B$2:$B$55,$A150,'Custos Fornecedores'!$C$2:$C$55,$B150,'Custos Fornecedores'!$A$2:$A$55,"Alquimia"),0)</f>
        <v>0.795</v>
      </c>
      <c r="G150" s="11" t="n">
        <f aca="false">IF(E150=0,F150,IF(F150=0,E150,MAX(E150,F150)))</f>
        <v>0.795</v>
      </c>
      <c r="H150" s="10" t="str">
        <f aca="false">IF(AND(E150=0,F150=0),"SEM DADOS",IF(E150=0,"Alquimia (único)",IF(F150=0,"Marfel (único)",IF(E150&gt;=F150,"Marfel","Alquimia"))))</f>
        <v>Alquimia (único)</v>
      </c>
      <c r="I150" s="12" t="n">
        <v>0.3</v>
      </c>
      <c r="J150" s="11" t="n">
        <f aca="false">I150*D150</f>
        <v>180</v>
      </c>
      <c r="K150" s="11" t="n">
        <f aca="false">G150+I150</f>
        <v>1.095</v>
      </c>
      <c r="L150" s="13" t="n">
        <v>0.57</v>
      </c>
      <c r="M150" s="11" t="n">
        <f aca="false">K150*(1+L150)</f>
        <v>1.71915</v>
      </c>
      <c r="N150" s="12" t="n">
        <v>1.66</v>
      </c>
      <c r="O150" s="11" t="n">
        <f aca="false">M150-N150</f>
        <v>0.0591499999999998</v>
      </c>
      <c r="P150" s="14" t="str">
        <f aca="false">IF(ISNUMBER(SEARCH("único",H150)),"Custo disponível de apenas 1 fornecedor para este tamanho — ver aba Inconsistências.","")</f>
        <v>Custo disponível de apenas 1 fornecedor para este tamanho — ver aba Inconsistências.</v>
      </c>
    </row>
    <row r="151" customFormat="false" ht="23.85" hidden="false" customHeight="false" outlineLevel="0" collapsed="false">
      <c r="A151" s="9" t="s">
        <v>31</v>
      </c>
      <c r="B151" s="10" t="s">
        <v>38</v>
      </c>
      <c r="C151" s="10" t="s">
        <v>63</v>
      </c>
      <c r="D151" s="10" t="n">
        <v>700</v>
      </c>
      <c r="E151" s="11" t="n">
        <f aca="false">IFERROR(_xlfn.MAXIFS('Custos Fornecedores'!$I$2:$I$55,'Custos Fornecedores'!$B$2:$B$55,$A151,'Custos Fornecedores'!$C$2:$C$55,$B151,'Custos Fornecedores'!$A$2:$A$55,"Marfel"),0)</f>
        <v>0</v>
      </c>
      <c r="F151" s="11" t="n">
        <f aca="false">IFERROR(_xlfn.MAXIFS('Custos Fornecedores'!$I$2:$I$55,'Custos Fornecedores'!$B$2:$B$55,$A151,'Custos Fornecedores'!$C$2:$C$55,$B151,'Custos Fornecedores'!$A$2:$A$55,"Alquimia"),0)</f>
        <v>0.795</v>
      </c>
      <c r="G151" s="11" t="n">
        <f aca="false">IF(E151=0,F151,IF(F151=0,E151,MAX(E151,F151)))</f>
        <v>0.795</v>
      </c>
      <c r="H151" s="10" t="str">
        <f aca="false">IF(AND(E151=0,F151=0),"SEM DADOS",IF(E151=0,"Alquimia (único)",IF(F151=0,"Marfel (único)",IF(E151&gt;=F151,"Marfel","Alquimia"))))</f>
        <v>Alquimia (único)</v>
      </c>
      <c r="I151" s="12" t="n">
        <v>0.3</v>
      </c>
      <c r="J151" s="11" t="n">
        <f aca="false">I151*D151</f>
        <v>210</v>
      </c>
      <c r="K151" s="11" t="n">
        <f aca="false">G151+I151</f>
        <v>1.095</v>
      </c>
      <c r="L151" s="13" t="n">
        <v>0.54</v>
      </c>
      <c r="M151" s="11" t="n">
        <f aca="false">K151*(1+L151)</f>
        <v>1.6863</v>
      </c>
      <c r="N151" s="12" t="n">
        <v>1.63</v>
      </c>
      <c r="O151" s="11" t="n">
        <f aca="false">M151-N151</f>
        <v>0.0563</v>
      </c>
      <c r="P151" s="14" t="str">
        <f aca="false">IF(ISNUMBER(SEARCH("único",H151)),"Custo disponível de apenas 1 fornecedor para este tamanho — ver aba Inconsistências.","")</f>
        <v>Custo disponível de apenas 1 fornecedor para este tamanho — ver aba Inconsistências.</v>
      </c>
    </row>
    <row r="152" customFormat="false" ht="23.85" hidden="false" customHeight="false" outlineLevel="0" collapsed="false">
      <c r="A152" s="9" t="s">
        <v>31</v>
      </c>
      <c r="B152" s="10" t="s">
        <v>38</v>
      </c>
      <c r="C152" s="10" t="s">
        <v>64</v>
      </c>
      <c r="D152" s="10" t="n">
        <v>800</v>
      </c>
      <c r="E152" s="11" t="n">
        <f aca="false">IFERROR(_xlfn.MAXIFS('Custos Fornecedores'!$I$2:$I$55,'Custos Fornecedores'!$B$2:$B$55,$A152,'Custos Fornecedores'!$C$2:$C$55,$B152,'Custos Fornecedores'!$A$2:$A$55,"Marfel"),0)</f>
        <v>0</v>
      </c>
      <c r="F152" s="11" t="n">
        <f aca="false">IFERROR(_xlfn.MAXIFS('Custos Fornecedores'!$I$2:$I$55,'Custos Fornecedores'!$B$2:$B$55,$A152,'Custos Fornecedores'!$C$2:$C$55,$B152,'Custos Fornecedores'!$A$2:$A$55,"Alquimia"),0)</f>
        <v>0.795</v>
      </c>
      <c r="G152" s="11" t="n">
        <f aca="false">IF(E152=0,F152,IF(F152=0,E152,MAX(E152,F152)))</f>
        <v>0.795</v>
      </c>
      <c r="H152" s="10" t="str">
        <f aca="false">IF(AND(E152=0,F152=0),"SEM DADOS",IF(E152=0,"Alquimia (único)",IF(F152=0,"Marfel (único)",IF(E152&gt;=F152,"Marfel","Alquimia"))))</f>
        <v>Alquimia (único)</v>
      </c>
      <c r="I152" s="12" t="n">
        <v>0.3</v>
      </c>
      <c r="J152" s="11" t="n">
        <f aca="false">I152*D152</f>
        <v>240</v>
      </c>
      <c r="K152" s="11" t="n">
        <f aca="false">G152+I152</f>
        <v>1.095</v>
      </c>
      <c r="L152" s="13" t="n">
        <v>0.51</v>
      </c>
      <c r="M152" s="11" t="n">
        <f aca="false">K152*(1+L152)</f>
        <v>1.65345</v>
      </c>
      <c r="N152" s="12" t="n">
        <v>1.6</v>
      </c>
      <c r="O152" s="11" t="n">
        <f aca="false">M152-N152</f>
        <v>0.0534499999999998</v>
      </c>
      <c r="P152" s="14" t="str">
        <f aca="false">IF(ISNUMBER(SEARCH("único",H152)),"Custo disponível de apenas 1 fornecedor para este tamanho — ver aba Inconsistências.","")</f>
        <v>Custo disponível de apenas 1 fornecedor para este tamanho — ver aba Inconsistências.</v>
      </c>
    </row>
    <row r="153" customFormat="false" ht="23.85" hidden="false" customHeight="false" outlineLevel="0" collapsed="false">
      <c r="A153" s="9" t="s">
        <v>31</v>
      </c>
      <c r="B153" s="10" t="s">
        <v>38</v>
      </c>
      <c r="C153" s="10" t="s">
        <v>65</v>
      </c>
      <c r="D153" s="10" t="n">
        <v>900</v>
      </c>
      <c r="E153" s="11" t="n">
        <f aca="false">IFERROR(_xlfn.MAXIFS('Custos Fornecedores'!$I$2:$I$55,'Custos Fornecedores'!$B$2:$B$55,$A153,'Custos Fornecedores'!$C$2:$C$55,$B153,'Custos Fornecedores'!$A$2:$A$55,"Marfel"),0)</f>
        <v>0</v>
      </c>
      <c r="F153" s="11" t="n">
        <f aca="false">IFERROR(_xlfn.MAXIFS('Custos Fornecedores'!$I$2:$I$55,'Custos Fornecedores'!$B$2:$B$55,$A153,'Custos Fornecedores'!$C$2:$C$55,$B153,'Custos Fornecedores'!$A$2:$A$55,"Alquimia"),0)</f>
        <v>0.795</v>
      </c>
      <c r="G153" s="11" t="n">
        <f aca="false">IF(E153=0,F153,IF(F153=0,E153,MAX(E153,F153)))</f>
        <v>0.795</v>
      </c>
      <c r="H153" s="10" t="str">
        <f aca="false">IF(AND(E153=0,F153=0),"SEM DADOS",IF(E153=0,"Alquimia (único)",IF(F153=0,"Marfel (único)",IF(E153&gt;=F153,"Marfel","Alquimia"))))</f>
        <v>Alquimia (único)</v>
      </c>
      <c r="I153" s="12" t="n">
        <v>0.3</v>
      </c>
      <c r="J153" s="11" t="n">
        <f aca="false">I153*D153</f>
        <v>270</v>
      </c>
      <c r="K153" s="11" t="n">
        <f aca="false">G153+I153</f>
        <v>1.095</v>
      </c>
      <c r="L153" s="13" t="n">
        <v>0.48</v>
      </c>
      <c r="M153" s="11" t="n">
        <f aca="false">K153*(1+L153)</f>
        <v>1.6206</v>
      </c>
      <c r="N153" s="12" t="n">
        <v>1.57</v>
      </c>
      <c r="O153" s="11" t="n">
        <f aca="false">M153-N153</f>
        <v>0.0506</v>
      </c>
      <c r="P153" s="14" t="str">
        <f aca="false">IF(ISNUMBER(SEARCH("único",H153)),"Custo disponível de apenas 1 fornecedor para este tamanho — ver aba Inconsistências.","")</f>
        <v>Custo disponível de apenas 1 fornecedor para este tamanho — ver aba Inconsistências.</v>
      </c>
    </row>
    <row r="154" customFormat="false" ht="23.85" hidden="false" customHeight="false" outlineLevel="0" collapsed="false">
      <c r="A154" s="9" t="s">
        <v>31</v>
      </c>
      <c r="B154" s="10" t="s">
        <v>38</v>
      </c>
      <c r="C154" s="10" t="s">
        <v>66</v>
      </c>
      <c r="D154" s="10" t="n">
        <v>1000</v>
      </c>
      <c r="E154" s="11" t="n">
        <f aca="false">IFERROR(_xlfn.MAXIFS('Custos Fornecedores'!$I$2:$I$55,'Custos Fornecedores'!$B$2:$B$55,$A154,'Custos Fornecedores'!$C$2:$C$55,$B154,'Custos Fornecedores'!$A$2:$A$55,"Marfel"),0)</f>
        <v>0</v>
      </c>
      <c r="F154" s="11" t="n">
        <f aca="false">IFERROR(_xlfn.MAXIFS('Custos Fornecedores'!$I$2:$I$55,'Custos Fornecedores'!$B$2:$B$55,$A154,'Custos Fornecedores'!$C$2:$C$55,$B154,'Custos Fornecedores'!$A$2:$A$55,"Alquimia"),0)</f>
        <v>0.795</v>
      </c>
      <c r="G154" s="11" t="n">
        <f aca="false">IF(E154=0,F154,IF(F154=0,E154,MAX(E154,F154)))</f>
        <v>0.795</v>
      </c>
      <c r="H154" s="10" t="str">
        <f aca="false">IF(AND(E154=0,F154=0),"SEM DADOS",IF(E154=0,"Alquimia (único)",IF(F154=0,"Marfel (único)",IF(E154&gt;=F154,"Marfel","Alquimia"))))</f>
        <v>Alquimia (único)</v>
      </c>
      <c r="I154" s="12" t="n">
        <v>0.3</v>
      </c>
      <c r="J154" s="11" t="n">
        <f aca="false">I154*D154</f>
        <v>300</v>
      </c>
      <c r="K154" s="11" t="n">
        <f aca="false">G154+I154</f>
        <v>1.095</v>
      </c>
      <c r="L154" s="13" t="n">
        <v>0.4</v>
      </c>
      <c r="M154" s="11" t="n">
        <f aca="false">K154*(1+L154)</f>
        <v>1.533</v>
      </c>
      <c r="N154" s="12" t="n">
        <v>1.48</v>
      </c>
      <c r="O154" s="11" t="n">
        <f aca="false">M154-N154</f>
        <v>0.0529999999999999</v>
      </c>
      <c r="P154" s="14" t="str">
        <f aca="false">IF(ISNUMBER(SEARCH("único",H154)),"Custo disponível de apenas 1 fornecedor para este tamanho — ver aba Inconsistências.","")</f>
        <v>Custo disponível de apenas 1 fornecedor para este tamanho — ver aba Inconsistências.</v>
      </c>
    </row>
  </sheetData>
  <mergeCells count="2">
    <mergeCell ref="A1:P1"/>
    <mergeCell ref="A2:P2"/>
  </mergeCells>
  <conditionalFormatting sqref="H5:H154">
    <cfRule type="expression" priority="2" aboveAverage="0" equalAverage="0" bottom="0" percent="0" rank="0" text="" dxfId="0">
      <formula>ISNUMBER(SEARCH("único",H5))</formula>
    </cfRule>
  </conditionalFormatting>
  <conditionalFormatting sqref="O5:O154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6"/>
  </cols>
  <sheetData>
    <row r="1" customFormat="false" ht="17.35" hidden="false" customHeight="false" outlineLevel="0" collapsed="false">
      <c r="A1" s="7" t="s">
        <v>67</v>
      </c>
      <c r="B1" s="7"/>
      <c r="C1" s="7"/>
    </row>
    <row r="3" customFormat="false" ht="15" hidden="false" customHeight="true" outlineLevel="0" collapsed="false">
      <c r="A3" s="15" t="s">
        <v>68</v>
      </c>
      <c r="B3" s="16" t="s">
        <v>69</v>
      </c>
      <c r="C3" s="16"/>
      <c r="D3" s="16"/>
    </row>
    <row r="4" customFormat="false" ht="60" hidden="false" customHeight="true" outlineLevel="0" collapsed="false">
      <c r="A4" s="17" t="s">
        <v>70</v>
      </c>
      <c r="B4" s="17" t="s">
        <v>71</v>
      </c>
      <c r="C4" s="17"/>
      <c r="D4" s="17"/>
    </row>
    <row r="5" customFormat="false" ht="60" hidden="false" customHeight="true" outlineLevel="0" collapsed="false">
      <c r="A5" s="17" t="s">
        <v>72</v>
      </c>
      <c r="B5" s="17" t="s">
        <v>73</v>
      </c>
      <c r="C5" s="17"/>
      <c r="D5" s="17"/>
    </row>
    <row r="6" customFormat="false" ht="60" hidden="false" customHeight="true" outlineLevel="0" collapsed="false">
      <c r="A6" s="17" t="s">
        <v>74</v>
      </c>
      <c r="B6" s="17" t="s">
        <v>75</v>
      </c>
      <c r="C6" s="17"/>
      <c r="D6" s="17"/>
    </row>
    <row r="8" customFormat="false" ht="17.35" hidden="false" customHeight="false" outlineLevel="0" collapsed="false">
      <c r="A8" s="18" t="s">
        <v>76</v>
      </c>
    </row>
    <row r="9" customFormat="false" ht="15" hidden="false" customHeight="false" outlineLevel="0" collapsed="false">
      <c r="A9" s="19" t="s">
        <v>77</v>
      </c>
      <c r="B9" s="19"/>
      <c r="C9" s="19"/>
      <c r="D9" s="19"/>
    </row>
    <row r="10" customFormat="false" ht="15" hidden="false" customHeight="false" outlineLevel="0" collapsed="false">
      <c r="A10" s="19" t="s">
        <v>78</v>
      </c>
      <c r="B10" s="19"/>
      <c r="C10" s="19"/>
      <c r="D10" s="19"/>
    </row>
    <row r="11" customFormat="false" ht="15" hidden="false" customHeight="false" outlineLevel="0" collapsed="false">
      <c r="A11" s="19" t="s">
        <v>79</v>
      </c>
      <c r="B11" s="19"/>
      <c r="C11" s="19"/>
      <c r="D11" s="19"/>
    </row>
    <row r="12" customFormat="false" ht="15" hidden="false" customHeight="false" outlineLevel="0" collapsed="false">
      <c r="A12" s="19" t="s">
        <v>80</v>
      </c>
      <c r="B12" s="19"/>
      <c r="C12" s="19"/>
      <c r="D12" s="19"/>
    </row>
    <row r="13" customFormat="false" ht="15" hidden="false" customHeight="false" outlineLevel="0" collapsed="false">
      <c r="A13" s="19" t="s">
        <v>81</v>
      </c>
      <c r="B13" s="19"/>
      <c r="C13" s="19"/>
      <c r="D13" s="19"/>
    </row>
    <row r="14" customFormat="false" ht="15" hidden="false" customHeight="false" outlineLevel="0" collapsed="false">
      <c r="A14" s="19" t="s">
        <v>82</v>
      </c>
      <c r="B14" s="19"/>
      <c r="C14" s="19"/>
      <c r="D14" s="19"/>
    </row>
    <row r="15" customFormat="false" ht="15" hidden="false" customHeight="false" outlineLevel="0" collapsed="false">
      <c r="A15" s="19" t="s">
        <v>83</v>
      </c>
      <c r="B15" s="19"/>
      <c r="C15" s="19"/>
      <c r="D15" s="19"/>
    </row>
  </sheetData>
  <mergeCells count="12">
    <mergeCell ref="A1:C1"/>
    <mergeCell ref="B3:D3"/>
    <mergeCell ref="B4:D4"/>
    <mergeCell ref="B5:D5"/>
    <mergeCell ref="B6:D6"/>
    <mergeCell ref="A9:D9"/>
    <mergeCell ref="A10:D10"/>
    <mergeCell ref="A11:D11"/>
    <mergeCell ref="A12:D12"/>
    <mergeCell ref="A13:D13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2026-07-01T17:28:45Z</dcterms:created>
  <dc:creator>openpyxl</dc:creator>
  <dc:description/>
  <dc:language>en-US</dc:language>
  <cp:lastModifiedBy/>
  <dcterms:modified xsi:type="dcterms:W3CDTF">2026-07-01T17:28:45Z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