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Fornecedores" sheetId="1" state="visible" r:id="rId1"/>
    <sheet xmlns:r="http://schemas.openxmlformats.org/officeDocument/2006/relationships" name="Auditoria de Preços" sheetId="2" state="visible" r:id="rId2"/>
    <sheet xmlns:r="http://schemas.openxmlformats.org/officeDocument/2006/relationships" name="Novos - Tabela Marfel" sheetId="3" state="visible" r:id="rId3"/>
    <sheet xmlns:r="http://schemas.openxmlformats.org/officeDocument/2006/relationships" name="Inconsist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i val="1"/>
      <color rgb="006B7280"/>
      <sz val="10"/>
    </font>
    <font>
      <name val="Calibri"/>
      <b val="1"/>
      <color rgb="001F2937"/>
      <sz val="14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6" customWidth="1" min="5" max="5"/>
    <col width="13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Fornecedor</t>
        </is>
      </c>
      <c r="B1" s="1" t="inlineStr">
        <is>
          <t>Modelo</t>
        </is>
      </c>
      <c r="C1" s="1" t="inlineStr">
        <is>
          <t>Tamanho</t>
        </is>
      </c>
      <c r="D1" s="1" t="inlineStr">
        <is>
          <t>Gramatura</t>
        </is>
      </c>
      <c r="E1" s="1" t="inlineStr">
        <is>
          <t>Cor</t>
        </is>
      </c>
      <c r="F1" s="1" t="inlineStr">
        <is>
          <t>Preço/Kg (R$)</t>
        </is>
      </c>
      <c r="G1" s="1" t="inlineStr">
        <is>
          <t>Peso Milheiro (kg)</t>
        </is>
      </c>
      <c r="H1" s="1" t="inlineStr">
        <is>
          <t>Custo Milheiro (R$)</t>
        </is>
      </c>
      <c r="I1" s="1" t="inlineStr">
        <is>
          <t>Custo Unitário (R$/un)</t>
        </is>
      </c>
    </row>
    <row r="2">
      <c r="A2" s="2" t="inlineStr">
        <is>
          <t>Marfel</t>
        </is>
      </c>
      <c r="B2" s="2" t="inlineStr">
        <is>
          <t>Alça Camiseta</t>
        </is>
      </c>
      <c r="C2" s="2" t="inlineStr">
        <is>
          <t>25x35</t>
        </is>
      </c>
      <c r="D2" s="2" t="inlineStr">
        <is>
          <t>0,04</t>
        </is>
      </c>
      <c r="E2" s="2" t="inlineStr">
        <is>
          <t>Branco/Preto</t>
        </is>
      </c>
      <c r="F2" s="2" t="n">
        <v>31</v>
      </c>
      <c r="G2" s="2" t="n">
        <v>3.8</v>
      </c>
      <c r="H2" s="2" t="n">
        <v>117.8</v>
      </c>
      <c r="I2" s="3">
        <f>H2/1000</f>
        <v/>
      </c>
    </row>
    <row r="3">
      <c r="A3" s="2" t="inlineStr">
        <is>
          <t>Alquimia</t>
        </is>
      </c>
      <c r="B3" s="2" t="inlineStr">
        <is>
          <t>Alça Camiseta</t>
        </is>
      </c>
      <c r="C3" s="2" t="inlineStr">
        <is>
          <t>30x40</t>
        </is>
      </c>
      <c r="D3" s="2" t="inlineStr">
        <is>
          <t>0,04-0,06</t>
        </is>
      </c>
      <c r="E3" s="2" t="inlineStr">
        <is>
          <t>Branco/Preto</t>
        </is>
      </c>
      <c r="F3" s="2" t="n">
        <v>23</v>
      </c>
      <c r="G3" s="2" t="n">
        <v>4.4</v>
      </c>
      <c r="H3" s="2" t="n">
        <v>101.2</v>
      </c>
      <c r="I3" s="3">
        <f>H3/1000</f>
        <v/>
      </c>
    </row>
    <row r="4">
      <c r="A4" s="2" t="inlineStr">
        <is>
          <t>Marfel</t>
        </is>
      </c>
      <c r="B4" s="2" t="inlineStr">
        <is>
          <t>Alça Camiseta</t>
        </is>
      </c>
      <c r="C4" s="2" t="inlineStr">
        <is>
          <t>30x40</t>
        </is>
      </c>
      <c r="D4" s="2" t="inlineStr">
        <is>
          <t>0,05</t>
        </is>
      </c>
      <c r="E4" s="2" t="inlineStr">
        <is>
          <t>Colorida</t>
        </is>
      </c>
      <c r="F4" s="2" t="n">
        <v>34.2</v>
      </c>
      <c r="G4" s="2" t="n">
        <v>5</v>
      </c>
      <c r="H4" s="2" t="n">
        <v>171</v>
      </c>
      <c r="I4" s="3">
        <f>H4/1000</f>
        <v/>
      </c>
    </row>
    <row r="5">
      <c r="A5" s="2" t="inlineStr">
        <is>
          <t>Marfel</t>
        </is>
      </c>
      <c r="B5" s="2" t="inlineStr">
        <is>
          <t>Alça Camiseta</t>
        </is>
      </c>
      <c r="C5" s="2" t="inlineStr">
        <is>
          <t>30x40</t>
        </is>
      </c>
      <c r="D5" s="2" t="inlineStr">
        <is>
          <t>0,05</t>
        </is>
      </c>
      <c r="E5" s="2" t="inlineStr">
        <is>
          <t>Branco/Preto</t>
        </is>
      </c>
      <c r="F5" s="2" t="n">
        <v>31</v>
      </c>
      <c r="G5" s="2" t="n">
        <v>5</v>
      </c>
      <c r="H5" s="2" t="n">
        <v>155</v>
      </c>
      <c r="I5" s="3">
        <f>H5/1000</f>
        <v/>
      </c>
    </row>
    <row r="6">
      <c r="A6" s="2" t="inlineStr">
        <is>
          <t>Marfel</t>
        </is>
      </c>
      <c r="B6" s="2" t="inlineStr">
        <is>
          <t>Alça Camiseta</t>
        </is>
      </c>
      <c r="C6" s="2" t="inlineStr">
        <is>
          <t>30x40</t>
        </is>
      </c>
      <c r="D6" s="2" t="inlineStr">
        <is>
          <t>0,05</t>
        </is>
      </c>
      <c r="E6" s="2" t="inlineStr">
        <is>
          <t>Diversas cores</t>
        </is>
      </c>
      <c r="F6" s="2" t="n">
        <v>34.2</v>
      </c>
      <c r="G6" s="2" t="n">
        <v>5</v>
      </c>
      <c r="H6" s="2" t="n">
        <v>171</v>
      </c>
      <c r="I6" s="3">
        <f>H6/1000</f>
        <v/>
      </c>
    </row>
    <row r="7">
      <c r="A7" s="2" t="inlineStr">
        <is>
          <t>Alquimia</t>
        </is>
      </c>
      <c r="B7" s="2" t="inlineStr">
        <is>
          <t>Alça Camiseta</t>
        </is>
      </c>
      <c r="C7" s="2" t="inlineStr">
        <is>
          <t>30x40</t>
        </is>
      </c>
      <c r="D7" s="2" t="inlineStr">
        <is>
          <t>0,06</t>
        </is>
      </c>
      <c r="E7" s="2" t="inlineStr">
        <is>
          <t>Colorida</t>
        </is>
      </c>
      <c r="F7" s="2" t="n">
        <v>26.5</v>
      </c>
      <c r="G7" s="2" t="n">
        <v>6.2</v>
      </c>
      <c r="H7" s="2" t="n">
        <v>164.3</v>
      </c>
      <c r="I7" s="3">
        <f>H7/1000</f>
        <v/>
      </c>
    </row>
    <row r="8">
      <c r="A8" s="2" t="inlineStr">
        <is>
          <t>Marfel</t>
        </is>
      </c>
      <c r="B8" s="2" t="inlineStr">
        <is>
          <t>Alça Camiseta</t>
        </is>
      </c>
      <c r="C8" s="2" t="inlineStr">
        <is>
          <t>35x45</t>
        </is>
      </c>
      <c r="D8" s="2" t="inlineStr">
        <is>
          <t>0,05</t>
        </is>
      </c>
      <c r="E8" s="2" t="inlineStr">
        <is>
          <t>Amarela</t>
        </is>
      </c>
      <c r="F8" s="2" t="n">
        <v>34.2</v>
      </c>
      <c r="G8" s="2" t="n">
        <v>7</v>
      </c>
      <c r="H8" s="2" t="n">
        <v>239.4</v>
      </c>
      <c r="I8" s="3">
        <f>H8/1000</f>
        <v/>
      </c>
    </row>
    <row r="9">
      <c r="A9" s="2" t="inlineStr">
        <is>
          <t>Marfel</t>
        </is>
      </c>
      <c r="B9" s="2" t="inlineStr">
        <is>
          <t>Alça Camiseta</t>
        </is>
      </c>
      <c r="C9" s="2" t="inlineStr">
        <is>
          <t>35x45</t>
        </is>
      </c>
      <c r="D9" s="2" t="inlineStr">
        <is>
          <t>0,05</t>
        </is>
      </c>
      <c r="E9" s="2" t="inlineStr">
        <is>
          <t>Branco/Preto</t>
        </is>
      </c>
      <c r="F9" s="2" t="n">
        <v>31</v>
      </c>
      <c r="G9" s="2" t="n">
        <v>7</v>
      </c>
      <c r="H9" s="2" t="n">
        <v>217</v>
      </c>
      <c r="I9" s="3">
        <f>H9/1000</f>
        <v/>
      </c>
    </row>
    <row r="10">
      <c r="A10" s="2" t="inlineStr">
        <is>
          <t>Alquimia</t>
        </is>
      </c>
      <c r="B10" s="2" t="inlineStr">
        <is>
          <t>Alça Camiseta</t>
        </is>
      </c>
      <c r="C10" s="2" t="inlineStr">
        <is>
          <t>40x50</t>
        </is>
      </c>
      <c r="D10" s="2" t="inlineStr">
        <is>
          <t>0,05</t>
        </is>
      </c>
      <c r="E10" s="2" t="inlineStr">
        <is>
          <t>Branco/Preto</t>
        </is>
      </c>
      <c r="F10" s="2" t="n">
        <v>23</v>
      </c>
      <c r="G10" s="2" t="n">
        <v>9</v>
      </c>
      <c r="H10" s="2" t="n">
        <v>207</v>
      </c>
      <c r="I10" s="3">
        <f>H10/1000</f>
        <v/>
      </c>
    </row>
    <row r="11">
      <c r="A11" s="2" t="inlineStr">
        <is>
          <t>Marfel</t>
        </is>
      </c>
      <c r="B11" s="2" t="inlineStr">
        <is>
          <t>Alça Camiseta</t>
        </is>
      </c>
      <c r="C11" s="2" t="inlineStr">
        <is>
          <t>40x50</t>
        </is>
      </c>
      <c r="D11" s="2" t="inlineStr">
        <is>
          <t>0,05</t>
        </is>
      </c>
      <c r="E11" s="2" t="inlineStr">
        <is>
          <t>Colorida</t>
        </is>
      </c>
      <c r="F11" s="2" t="n">
        <v>34.2</v>
      </c>
      <c r="G11" s="2" t="n">
        <v>9</v>
      </c>
      <c r="H11" s="2" t="n">
        <v>307.8</v>
      </c>
      <c r="I11" s="3">
        <f>H11/1000</f>
        <v/>
      </c>
    </row>
    <row r="12">
      <c r="A12" s="2" t="inlineStr">
        <is>
          <t>Marfel</t>
        </is>
      </c>
      <c r="B12" s="2" t="inlineStr">
        <is>
          <t>Alça Camiseta</t>
        </is>
      </c>
      <c r="C12" s="2" t="inlineStr">
        <is>
          <t>40x50</t>
        </is>
      </c>
      <c r="D12" s="2" t="inlineStr">
        <is>
          <t>0,05</t>
        </is>
      </c>
      <c r="E12" s="2" t="inlineStr">
        <is>
          <t>Branco/Preto</t>
        </is>
      </c>
      <c r="F12" s="2" t="n">
        <v>31</v>
      </c>
      <c r="G12" s="2" t="n">
        <v>9</v>
      </c>
      <c r="H12" s="2" t="n">
        <v>279</v>
      </c>
      <c r="I12" s="3">
        <f>H12/1000</f>
        <v/>
      </c>
    </row>
    <row r="13">
      <c r="A13" s="2" t="inlineStr">
        <is>
          <t>Marfel</t>
        </is>
      </c>
      <c r="B13" s="2" t="inlineStr">
        <is>
          <t>Alça Camiseta</t>
        </is>
      </c>
      <c r="C13" s="2" t="inlineStr">
        <is>
          <t>40x50</t>
        </is>
      </c>
      <c r="D13" s="2" t="inlineStr">
        <is>
          <t>0,05</t>
        </is>
      </c>
      <c r="E13" s="2" t="inlineStr">
        <is>
          <t>Diversas cores</t>
        </is>
      </c>
      <c r="F13" s="2" t="n">
        <v>34.2</v>
      </c>
      <c r="G13" s="2" t="n">
        <v>9</v>
      </c>
      <c r="H13" s="2" t="n">
        <v>307.8</v>
      </c>
      <c r="I13" s="3">
        <f>H13/1000</f>
        <v/>
      </c>
    </row>
    <row r="14">
      <c r="A14" s="2" t="inlineStr">
        <is>
          <t>Alquimia</t>
        </is>
      </c>
      <c r="B14" s="2" t="inlineStr">
        <is>
          <t>Alça Camiseta</t>
        </is>
      </c>
      <c r="C14" s="2" t="inlineStr">
        <is>
          <t>40x50</t>
        </is>
      </c>
      <c r="D14" s="2" t="inlineStr">
        <is>
          <t>0,06</t>
        </is>
      </c>
      <c r="E14" s="2" t="inlineStr">
        <is>
          <t>Colorida</t>
        </is>
      </c>
      <c r="F14" s="2" t="n">
        <v>26.5</v>
      </c>
      <c r="G14" s="2" t="n">
        <v>11</v>
      </c>
      <c r="H14" s="2" t="n">
        <v>291.5</v>
      </c>
      <c r="I14" s="3">
        <f>H14/1000</f>
        <v/>
      </c>
    </row>
    <row r="15">
      <c r="A15" s="2" t="inlineStr">
        <is>
          <t>Alquimia</t>
        </is>
      </c>
      <c r="B15" s="2" t="inlineStr">
        <is>
          <t>Alça Camiseta</t>
        </is>
      </c>
      <c r="C15" s="2" t="inlineStr">
        <is>
          <t>45x60</t>
        </is>
      </c>
      <c r="D15" s="2" t="inlineStr">
        <is>
          <t>0,05</t>
        </is>
      </c>
      <c r="E15" s="2" t="inlineStr">
        <is>
          <t>Branco/Preto</t>
        </is>
      </c>
      <c r="F15" s="2" t="n">
        <v>23</v>
      </c>
      <c r="G15" s="2" t="n">
        <v>12.2</v>
      </c>
      <c r="H15" s="2" t="n">
        <v>280.6</v>
      </c>
      <c r="I15" s="3">
        <f>H15/1000</f>
        <v/>
      </c>
    </row>
    <row r="16">
      <c r="A16" s="2" t="inlineStr">
        <is>
          <t>Marfel</t>
        </is>
      </c>
      <c r="B16" s="2" t="inlineStr">
        <is>
          <t>Alça Camiseta</t>
        </is>
      </c>
      <c r="C16" s="2" t="inlineStr">
        <is>
          <t>45x60</t>
        </is>
      </c>
      <c r="D16" s="2" t="inlineStr">
        <is>
          <t>0,05</t>
        </is>
      </c>
      <c r="E16" s="2" t="inlineStr">
        <is>
          <t>Diversas cores</t>
        </is>
      </c>
      <c r="F16" s="2" t="n">
        <v>34.2</v>
      </c>
      <c r="G16" s="2" t="n">
        <v>13.5</v>
      </c>
      <c r="H16" s="2" t="n">
        <v>461.7</v>
      </c>
      <c r="I16" s="3">
        <f>H16/1000</f>
        <v/>
      </c>
    </row>
    <row r="17">
      <c r="A17" s="2" t="inlineStr">
        <is>
          <t>Marfel</t>
        </is>
      </c>
      <c r="B17" s="2" t="inlineStr">
        <is>
          <t>Alça Camiseta</t>
        </is>
      </c>
      <c r="C17" s="2" t="inlineStr">
        <is>
          <t>45x60</t>
        </is>
      </c>
      <c r="D17" s="2" t="inlineStr">
        <is>
          <t>0,05</t>
        </is>
      </c>
      <c r="E17" s="2" t="inlineStr">
        <is>
          <t>Branco/Preto</t>
        </is>
      </c>
      <c r="F17" s="2" t="n">
        <v>31</v>
      </c>
      <c r="G17" s="2" t="n">
        <v>13.5</v>
      </c>
      <c r="H17" s="2" t="n">
        <v>418.5</v>
      </c>
      <c r="I17" s="3">
        <f>H17/1000</f>
        <v/>
      </c>
    </row>
    <row r="18">
      <c r="A18" s="2" t="inlineStr">
        <is>
          <t>Marfel</t>
        </is>
      </c>
      <c r="B18" s="2" t="inlineStr">
        <is>
          <t>Alça Camiseta</t>
        </is>
      </c>
      <c r="C18" s="2" t="inlineStr">
        <is>
          <t>45x60</t>
        </is>
      </c>
      <c r="D18" s="2" t="inlineStr">
        <is>
          <t>0,05</t>
        </is>
      </c>
      <c r="E18" s="2" t="inlineStr">
        <is>
          <t>Colorida</t>
        </is>
      </c>
      <c r="F18" s="2" t="n">
        <v>34.2</v>
      </c>
      <c r="G18" s="2" t="n">
        <v>13.5</v>
      </c>
      <c r="H18" s="2" t="n">
        <v>461.7</v>
      </c>
      <c r="I18" s="3">
        <f>H18/1000</f>
        <v/>
      </c>
    </row>
    <row r="19">
      <c r="A19" s="2" t="inlineStr">
        <is>
          <t>Alquimia</t>
        </is>
      </c>
      <c r="B19" s="2" t="inlineStr">
        <is>
          <t>Alça Camiseta</t>
        </is>
      </c>
      <c r="C19" s="2" t="inlineStr">
        <is>
          <t>45x60</t>
        </is>
      </c>
      <c r="D19" s="2" t="inlineStr">
        <is>
          <t>0,06</t>
        </is>
      </c>
      <c r="E19" s="2" t="inlineStr">
        <is>
          <t>Colorida</t>
        </is>
      </c>
      <c r="F19" s="2" t="n">
        <v>26.5</v>
      </c>
      <c r="G19" s="2" t="n">
        <v>14</v>
      </c>
      <c r="H19" s="2" t="n">
        <v>322</v>
      </c>
      <c r="I19" s="3">
        <f>H19/1000</f>
        <v/>
      </c>
    </row>
    <row r="20">
      <c r="A20" s="2" t="inlineStr">
        <is>
          <t>Marfel</t>
        </is>
      </c>
      <c r="B20" s="2" t="inlineStr">
        <is>
          <t>Alça Camiseta</t>
        </is>
      </c>
      <c r="C20" s="2" t="inlineStr">
        <is>
          <t>50x60</t>
        </is>
      </c>
      <c r="D20" s="2" t="inlineStr">
        <is>
          <t>0,06</t>
        </is>
      </c>
      <c r="E20" s="2" t="inlineStr">
        <is>
          <t>Branco/Preto</t>
        </is>
      </c>
      <c r="F20" s="2" t="n">
        <v>31</v>
      </c>
      <c r="G20" s="2" t="n">
        <v>16.5</v>
      </c>
      <c r="H20" s="2" t="n">
        <v>511.5</v>
      </c>
      <c r="I20" s="3">
        <f>H20/1000</f>
        <v/>
      </c>
    </row>
    <row r="21">
      <c r="A21" s="2" t="inlineStr">
        <is>
          <t>Alquimia</t>
        </is>
      </c>
      <c r="B21" s="2" t="inlineStr">
        <is>
          <t>Alça Camiseta</t>
        </is>
      </c>
      <c r="C21" s="2" t="inlineStr">
        <is>
          <t>50x70</t>
        </is>
      </c>
      <c r="D21" s="2" t="inlineStr">
        <is>
          <t>0,06</t>
        </is>
      </c>
      <c r="E21" s="2" t="inlineStr">
        <is>
          <t>Branco/Preto</t>
        </is>
      </c>
      <c r="F21" s="2" t="n">
        <v>23</v>
      </c>
      <c r="G21" s="2" t="n">
        <v>18.9</v>
      </c>
      <c r="H21" s="2" t="n">
        <v>434.7</v>
      </c>
      <c r="I21" s="3">
        <f>H21/1000</f>
        <v/>
      </c>
    </row>
    <row r="22">
      <c r="A22" s="2" t="inlineStr">
        <is>
          <t>Alquimia</t>
        </is>
      </c>
      <c r="B22" s="2" t="inlineStr">
        <is>
          <t>Alça Camiseta</t>
        </is>
      </c>
      <c r="C22" s="2" t="inlineStr">
        <is>
          <t>50x70</t>
        </is>
      </c>
      <c r="D22" s="2" t="inlineStr">
        <is>
          <t>0,06</t>
        </is>
      </c>
      <c r="E22" s="2" t="inlineStr">
        <is>
          <t>Colorida</t>
        </is>
      </c>
      <c r="F22" s="2" t="n">
        <v>26.5</v>
      </c>
      <c r="G22" s="2" t="n">
        <v>19</v>
      </c>
      <c r="H22" s="2" t="n">
        <v>371</v>
      </c>
      <c r="I22" s="3">
        <f>H22/1000</f>
        <v/>
      </c>
    </row>
    <row r="23">
      <c r="A23" s="2" t="inlineStr">
        <is>
          <t>Marfel</t>
        </is>
      </c>
      <c r="B23" s="2" t="inlineStr">
        <is>
          <t>Alça Camiseta</t>
        </is>
      </c>
      <c r="C23" s="2" t="inlineStr">
        <is>
          <t>50x70</t>
        </is>
      </c>
      <c r="D23" s="2" t="inlineStr">
        <is>
          <t>0,06</t>
        </is>
      </c>
      <c r="E23" s="2" t="inlineStr">
        <is>
          <t>Branco/Preto</t>
        </is>
      </c>
      <c r="F23" s="2" t="n">
        <v>31</v>
      </c>
      <c r="G23" s="2" t="n">
        <v>19</v>
      </c>
      <c r="H23" s="2" t="n">
        <v>589</v>
      </c>
      <c r="I23" s="3">
        <f>H23/1000</f>
        <v/>
      </c>
    </row>
    <row r="24">
      <c r="A24" s="2" t="inlineStr">
        <is>
          <t>Marfel</t>
        </is>
      </c>
      <c r="B24" s="2" t="inlineStr">
        <is>
          <t>Alça Camiseta</t>
        </is>
      </c>
      <c r="C24" s="2" t="inlineStr">
        <is>
          <t>50x70</t>
        </is>
      </c>
      <c r="D24" s="2" t="inlineStr">
        <is>
          <t>0,06</t>
        </is>
      </c>
      <c r="E24" s="2" t="inlineStr">
        <is>
          <t>Diversas cores</t>
        </is>
      </c>
      <c r="F24" s="2" t="n">
        <v>34.2</v>
      </c>
      <c r="G24" s="2" t="n">
        <v>19</v>
      </c>
      <c r="H24" s="2" t="n">
        <v>649.8</v>
      </c>
      <c r="I24" s="3">
        <f>H24/1000</f>
        <v/>
      </c>
    </row>
    <row r="25">
      <c r="A25" s="2" t="inlineStr">
        <is>
          <t>Marfel</t>
        </is>
      </c>
      <c r="B25" s="2" t="inlineStr">
        <is>
          <t>Alça Camiseta</t>
        </is>
      </c>
      <c r="C25" s="2" t="inlineStr">
        <is>
          <t>50x70</t>
        </is>
      </c>
      <c r="D25" s="2" t="inlineStr">
        <is>
          <t>0,06</t>
        </is>
      </c>
      <c r="E25" s="2" t="inlineStr">
        <is>
          <t>Colorida</t>
        </is>
      </c>
      <c r="F25" s="2" t="n">
        <v>34.2</v>
      </c>
      <c r="G25" s="2" t="n">
        <v>19</v>
      </c>
      <c r="H25" s="2" t="n">
        <v>649.8</v>
      </c>
      <c r="I25" s="3">
        <f>H25/1000</f>
        <v/>
      </c>
    </row>
    <row r="26">
      <c r="A26" s="2" t="inlineStr">
        <is>
          <t>Marfel</t>
        </is>
      </c>
      <c r="B26" s="2" t="inlineStr">
        <is>
          <t>Alça Camiseta</t>
        </is>
      </c>
      <c r="C26" s="2" t="inlineStr">
        <is>
          <t>60x80</t>
        </is>
      </c>
      <c r="D26" s="2" t="inlineStr">
        <is>
          <t>0,06</t>
        </is>
      </c>
      <c r="E26" s="2" t="inlineStr">
        <is>
          <t>Colorida</t>
        </is>
      </c>
      <c r="F26" s="2" t="n">
        <v>34.2</v>
      </c>
      <c r="G26" s="2" t="n">
        <v>28</v>
      </c>
      <c r="H26" s="2" t="n">
        <v>957.6</v>
      </c>
      <c r="I26" s="3">
        <f>H26/1000</f>
        <v/>
      </c>
    </row>
    <row r="27">
      <c r="A27" s="2" t="inlineStr">
        <is>
          <t>Marfel</t>
        </is>
      </c>
      <c r="B27" s="2" t="inlineStr">
        <is>
          <t>Alça Camiseta</t>
        </is>
      </c>
      <c r="C27" s="2" t="inlineStr">
        <is>
          <t>60x80</t>
        </is>
      </c>
      <c r="D27" s="2" t="inlineStr">
        <is>
          <t>0,06</t>
        </is>
      </c>
      <c r="E27" s="2" t="inlineStr">
        <is>
          <t>Branco/Preto</t>
        </is>
      </c>
      <c r="F27" s="2" t="n">
        <v>31</v>
      </c>
      <c r="G27" s="2" t="n">
        <v>28</v>
      </c>
      <c r="H27" s="2" t="n">
        <v>868</v>
      </c>
      <c r="I27" s="3">
        <f>H27/1000</f>
        <v/>
      </c>
    </row>
    <row r="28">
      <c r="A28" s="2" t="inlineStr">
        <is>
          <t>Marfel</t>
        </is>
      </c>
      <c r="B28" s="2" t="inlineStr">
        <is>
          <t>Alça Camiseta</t>
        </is>
      </c>
      <c r="C28" s="2" t="inlineStr">
        <is>
          <t>60x80</t>
        </is>
      </c>
      <c r="D28" s="2" t="inlineStr">
        <is>
          <t>0,06</t>
        </is>
      </c>
      <c r="E28" s="2" t="inlineStr">
        <is>
          <t>Diversas cores</t>
        </is>
      </c>
      <c r="F28" s="2" t="n">
        <v>34.2</v>
      </c>
      <c r="G28" s="2" t="n">
        <v>28</v>
      </c>
      <c r="H28" s="2" t="n">
        <v>957.6</v>
      </c>
      <c r="I28" s="3">
        <f>H28/1000</f>
        <v/>
      </c>
    </row>
    <row r="29">
      <c r="A29" s="2" t="inlineStr">
        <is>
          <t>Alquimia</t>
        </is>
      </c>
      <c r="B29" s="2" t="inlineStr">
        <is>
          <t>Alça Camiseta</t>
        </is>
      </c>
      <c r="C29" s="2" t="inlineStr">
        <is>
          <t>60x80</t>
        </is>
      </c>
      <c r="D29" s="2" t="inlineStr">
        <is>
          <t>0,07</t>
        </is>
      </c>
      <c r="E29" s="2" t="inlineStr">
        <is>
          <t>Colorida</t>
        </is>
      </c>
      <c r="F29" s="2" t="n">
        <v>26.5</v>
      </c>
      <c r="G29" s="2" t="n">
        <v>30</v>
      </c>
      <c r="H29" s="2" t="n">
        <v>795</v>
      </c>
      <c r="I29" s="3">
        <f>H29/1000</f>
        <v/>
      </c>
    </row>
    <row r="30">
      <c r="A30" s="2" t="inlineStr">
        <is>
          <t>Alquimia</t>
        </is>
      </c>
      <c r="B30" s="2" t="inlineStr">
        <is>
          <t>Alça Camiseta</t>
        </is>
      </c>
      <c r="C30" s="2" t="inlineStr">
        <is>
          <t>60x80</t>
        </is>
      </c>
      <c r="D30" s="2" t="inlineStr">
        <is>
          <t>0,07</t>
        </is>
      </c>
      <c r="E30" s="2" t="inlineStr">
        <is>
          <t>Branco/Preto</t>
        </is>
      </c>
      <c r="F30" s="2" t="n">
        <v>23</v>
      </c>
      <c r="G30" s="2" t="n">
        <v>30</v>
      </c>
      <c r="H30" s="2" t="n">
        <v>690</v>
      </c>
      <c r="I30" s="3">
        <f>H30/1000</f>
        <v/>
      </c>
    </row>
    <row r="31">
      <c r="A31" s="2" t="inlineStr">
        <is>
          <t>Marfel</t>
        </is>
      </c>
      <c r="B31" s="2" t="inlineStr">
        <is>
          <t>Alça Camiseta</t>
        </is>
      </c>
      <c r="C31" s="2" t="inlineStr">
        <is>
          <t>70x90</t>
        </is>
      </c>
      <c r="D31" s="2" t="inlineStr">
        <is>
          <t>0,07</t>
        </is>
      </c>
      <c r="E31" s="2" t="inlineStr">
        <is>
          <t>Branco/Preto</t>
        </is>
      </c>
      <c r="F31" s="2" t="n">
        <v>31</v>
      </c>
      <c r="G31" s="2" t="n">
        <v>38</v>
      </c>
      <c r="H31" s="2" t="n">
        <v>1178</v>
      </c>
      <c r="I31" s="3">
        <f>H31/1000</f>
        <v/>
      </c>
    </row>
    <row r="32">
      <c r="A32" s="2" t="inlineStr">
        <is>
          <t>Marfel</t>
        </is>
      </c>
      <c r="B32" s="2" t="inlineStr">
        <is>
          <t>Alça Camiseta</t>
        </is>
      </c>
      <c r="C32" s="2" t="inlineStr">
        <is>
          <t>70x90</t>
        </is>
      </c>
      <c r="D32" s="2" t="inlineStr">
        <is>
          <t>0,07</t>
        </is>
      </c>
      <c r="E32" s="2" t="inlineStr">
        <is>
          <t>Diversas cores</t>
        </is>
      </c>
      <c r="F32" s="2" t="n">
        <v>34.2</v>
      </c>
      <c r="G32" s="2" t="n">
        <v>38</v>
      </c>
      <c r="H32" s="2" t="n">
        <v>1299.6</v>
      </c>
      <c r="I32" s="3">
        <f>H32/1000</f>
        <v/>
      </c>
    </row>
    <row r="33">
      <c r="A33" s="2" t="inlineStr">
        <is>
          <t>Marfel</t>
        </is>
      </c>
      <c r="B33" s="2" t="inlineStr">
        <is>
          <t>Alça Camiseta</t>
        </is>
      </c>
      <c r="C33" s="2" t="inlineStr">
        <is>
          <t>90x100</t>
        </is>
      </c>
      <c r="D33" s="2" t="inlineStr">
        <is>
          <t>0,07</t>
        </is>
      </c>
      <c r="E33" s="2" t="inlineStr">
        <is>
          <t>Diversas cores</t>
        </is>
      </c>
      <c r="F33" s="2" t="n">
        <v>34.2</v>
      </c>
      <c r="G33" s="2" t="n">
        <v>56</v>
      </c>
      <c r="H33" s="2" t="n">
        <v>1915.2</v>
      </c>
      <c r="I33" s="3">
        <f>H33/1000</f>
        <v/>
      </c>
    </row>
    <row r="34">
      <c r="A34" s="2" t="inlineStr">
        <is>
          <t>Marfel</t>
        </is>
      </c>
      <c r="B34" s="2" t="inlineStr">
        <is>
          <t>Alça Camiseta</t>
        </is>
      </c>
      <c r="C34" s="2" t="inlineStr">
        <is>
          <t>90x100</t>
        </is>
      </c>
      <c r="D34" s="2" t="inlineStr">
        <is>
          <t>0,07</t>
        </is>
      </c>
      <c r="E34" s="2" t="inlineStr">
        <is>
          <t>Branco/Preto</t>
        </is>
      </c>
      <c r="F34" s="2" t="n">
        <v>31</v>
      </c>
      <c r="G34" s="2" t="n">
        <v>56</v>
      </c>
      <c r="H34" s="2" t="n">
        <v>1736</v>
      </c>
      <c r="I34" s="3">
        <f>H34/1000</f>
        <v/>
      </c>
    </row>
    <row r="35">
      <c r="A35" s="2" t="inlineStr">
        <is>
          <t>Alquimia</t>
        </is>
      </c>
      <c r="B35" s="2" t="inlineStr">
        <is>
          <t>Alça Fita</t>
        </is>
      </c>
      <c r="C35" s="2" t="inlineStr">
        <is>
          <t>27x40</t>
        </is>
      </c>
      <c r="D35" s="2" t="inlineStr">
        <is>
          <t>0,15</t>
        </is>
      </c>
      <c r="E35" s="2" t="inlineStr">
        <is>
          <t>Colorida</t>
        </is>
      </c>
      <c r="F35" s="2" t="n">
        <v>29.9</v>
      </c>
      <c r="G35" s="2" t="n">
        <v>19</v>
      </c>
      <c r="H35" s="2" t="n">
        <v>568.1</v>
      </c>
      <c r="I35" s="3">
        <f>H35/1000</f>
        <v/>
      </c>
    </row>
    <row r="36">
      <c r="A36" s="2" t="inlineStr">
        <is>
          <t>Alquimia</t>
        </is>
      </c>
      <c r="B36" s="2" t="inlineStr">
        <is>
          <t>Alça Fita</t>
        </is>
      </c>
      <c r="C36" s="2" t="inlineStr">
        <is>
          <t>27x40</t>
        </is>
      </c>
      <c r="D36" s="2" t="inlineStr">
        <is>
          <t>0,15</t>
        </is>
      </c>
      <c r="E36" s="2" t="inlineStr">
        <is>
          <t>Branco/Preto</t>
        </is>
      </c>
      <c r="F36" s="2" t="n">
        <v>28.75</v>
      </c>
      <c r="G36" s="2" t="n">
        <v>19</v>
      </c>
      <c r="H36" s="2" t="n">
        <v>546</v>
      </c>
      <c r="I36" s="3">
        <f>H36/1000</f>
        <v/>
      </c>
    </row>
    <row r="37">
      <c r="A37" s="2" t="inlineStr">
        <is>
          <t>Marfel</t>
        </is>
      </c>
      <c r="B37" s="2" t="inlineStr">
        <is>
          <t>Alça Fita</t>
        </is>
      </c>
      <c r="C37" s="2" t="inlineStr">
        <is>
          <t>27x40</t>
        </is>
      </c>
      <c r="D37" s="2" t="inlineStr">
        <is>
          <t>0,15</t>
        </is>
      </c>
      <c r="E37" s="2" t="inlineStr">
        <is>
          <t>Ouro/Rosa Neon</t>
        </is>
      </c>
      <c r="F37" s="2" t="n">
        <v>43.2</v>
      </c>
      <c r="G37" s="2" t="n">
        <v>19</v>
      </c>
      <c r="H37" s="2" t="n">
        <v>820.8</v>
      </c>
      <c r="I37" s="3">
        <f>H37/1000</f>
        <v/>
      </c>
    </row>
    <row r="38">
      <c r="A38" s="2" t="inlineStr">
        <is>
          <t>Marfel</t>
        </is>
      </c>
      <c r="B38" s="2" t="inlineStr">
        <is>
          <t>Alça Fita</t>
        </is>
      </c>
      <c r="C38" s="2" t="inlineStr">
        <is>
          <t>27x40</t>
        </is>
      </c>
      <c r="D38" s="2" t="inlineStr">
        <is>
          <t>0,15</t>
        </is>
      </c>
      <c r="E38" s="2" t="inlineStr">
        <is>
          <t>Diversas cores</t>
        </is>
      </c>
      <c r="F38" s="2" t="n">
        <v>38.7</v>
      </c>
      <c r="G38" s="2" t="n">
        <v>19</v>
      </c>
      <c r="H38" s="2" t="n">
        <v>735.3</v>
      </c>
      <c r="I38" s="3">
        <f>H38/1000</f>
        <v/>
      </c>
    </row>
    <row r="39">
      <c r="A39" s="2" t="inlineStr">
        <is>
          <t>Marfel</t>
        </is>
      </c>
      <c r="B39" s="2" t="inlineStr">
        <is>
          <t>Alça Fita</t>
        </is>
      </c>
      <c r="C39" s="2" t="inlineStr">
        <is>
          <t>30x45</t>
        </is>
      </c>
      <c r="D39" s="2" t="inlineStr">
        <is>
          <t>0,13</t>
        </is>
      </c>
      <c r="E39" s="2" t="inlineStr">
        <is>
          <t>Branco/Preto</t>
        </is>
      </c>
      <c r="F39" s="2" t="n">
        <v>38.7</v>
      </c>
      <c r="G39" s="2" t="n">
        <v>20</v>
      </c>
      <c r="H39" s="2" t="n">
        <v>774</v>
      </c>
      <c r="I39" s="3">
        <f>H39/1000</f>
        <v/>
      </c>
    </row>
    <row r="40">
      <c r="A40" s="2" t="inlineStr">
        <is>
          <t>Alquimia</t>
        </is>
      </c>
      <c r="B40" s="2" t="inlineStr">
        <is>
          <t>Alça Fita</t>
        </is>
      </c>
      <c r="C40" s="2" t="inlineStr">
        <is>
          <t>30x45</t>
        </is>
      </c>
      <c r="D40" s="2" t="inlineStr">
        <is>
          <t>0,15</t>
        </is>
      </c>
      <c r="E40" s="2" t="inlineStr">
        <is>
          <t>Colorida</t>
        </is>
      </c>
      <c r="F40" s="2" t="n">
        <v>29.9</v>
      </c>
      <c r="G40" s="2" t="n">
        <v>23</v>
      </c>
      <c r="H40" s="2" t="n">
        <v>687.7</v>
      </c>
      <c r="I40" s="3">
        <f>H40/1000</f>
        <v/>
      </c>
    </row>
    <row r="41">
      <c r="A41" s="2" t="inlineStr">
        <is>
          <t>Alquimia</t>
        </is>
      </c>
      <c r="B41" s="2" t="inlineStr">
        <is>
          <t>Alça Fita</t>
        </is>
      </c>
      <c r="C41" s="2" t="inlineStr">
        <is>
          <t>30x45</t>
        </is>
      </c>
      <c r="D41" s="2" t="inlineStr">
        <is>
          <t>0,15</t>
        </is>
      </c>
      <c r="E41" s="2" t="inlineStr">
        <is>
          <t>Branco/Preto</t>
        </is>
      </c>
      <c r="F41" s="2" t="n">
        <v>28.75</v>
      </c>
      <c r="G41" s="2" t="n">
        <v>23</v>
      </c>
      <c r="H41" s="2" t="n">
        <v>661.25</v>
      </c>
      <c r="I41" s="3">
        <f>H41/1000</f>
        <v/>
      </c>
    </row>
    <row r="42">
      <c r="A42" s="2" t="inlineStr">
        <is>
          <t>Marfel</t>
        </is>
      </c>
      <c r="B42" s="2" t="inlineStr">
        <is>
          <t>Alça Fita</t>
        </is>
      </c>
      <c r="C42" s="2" t="inlineStr">
        <is>
          <t>30x45</t>
        </is>
      </c>
      <c r="D42" s="2" t="inlineStr">
        <is>
          <t>0,15</t>
        </is>
      </c>
      <c r="E42" s="2" t="inlineStr">
        <is>
          <t>Ouro/Rosa Neon</t>
        </is>
      </c>
      <c r="F42" s="2" t="n">
        <v>43.2</v>
      </c>
      <c r="G42" s="2" t="n">
        <v>24.2</v>
      </c>
      <c r="H42" s="2" t="n">
        <v>1045.44</v>
      </c>
      <c r="I42" s="3">
        <f>H42/1000</f>
        <v/>
      </c>
    </row>
    <row r="43">
      <c r="A43" s="2" t="inlineStr">
        <is>
          <t>Marfel</t>
        </is>
      </c>
      <c r="B43" s="2" t="inlineStr">
        <is>
          <t>Alça Fita</t>
        </is>
      </c>
      <c r="C43" s="2" t="inlineStr">
        <is>
          <t>30x45</t>
        </is>
      </c>
      <c r="D43" s="2" t="inlineStr">
        <is>
          <t>0,15</t>
        </is>
      </c>
      <c r="E43" s="2" t="inlineStr">
        <is>
          <t>Diversas cores</t>
        </is>
      </c>
      <c r="F43" s="2" t="n">
        <v>38.7</v>
      </c>
      <c r="G43" s="2" t="n">
        <v>24.2</v>
      </c>
      <c r="H43" s="2" t="n">
        <v>936.54</v>
      </c>
      <c r="I43" s="3">
        <f>H43/1000</f>
        <v/>
      </c>
    </row>
    <row r="44">
      <c r="A44" s="2" t="inlineStr">
        <is>
          <t>Marfel</t>
        </is>
      </c>
      <c r="B44" s="2" t="inlineStr">
        <is>
          <t>Alça Fita</t>
        </is>
      </c>
      <c r="C44" s="2" t="inlineStr">
        <is>
          <t>40x50</t>
        </is>
      </c>
      <c r="D44" s="2" t="inlineStr">
        <is>
          <t>0,13</t>
        </is>
      </c>
      <c r="E44" s="2" t="inlineStr">
        <is>
          <t>Branco/Preto</t>
        </is>
      </c>
      <c r="F44" s="2" t="n">
        <v>38.7</v>
      </c>
      <c r="G44" s="2" t="n">
        <v>29</v>
      </c>
      <c r="H44" s="2" t="n">
        <v>1122.3</v>
      </c>
      <c r="I44" s="3">
        <f>H44/1000</f>
        <v/>
      </c>
    </row>
    <row r="45">
      <c r="A45" s="2" t="inlineStr">
        <is>
          <t>Alquimia</t>
        </is>
      </c>
      <c r="B45" s="2" t="inlineStr">
        <is>
          <t>Alça Fita</t>
        </is>
      </c>
      <c r="C45" s="2" t="inlineStr">
        <is>
          <t>40x50</t>
        </is>
      </c>
      <c r="D45" s="2" t="inlineStr">
        <is>
          <t>0,15</t>
        </is>
      </c>
      <c r="E45" s="2" t="inlineStr">
        <is>
          <t>Colorida</t>
        </is>
      </c>
      <c r="F45" s="2" t="n">
        <v>29.9</v>
      </c>
      <c r="G45" s="2" t="n">
        <v>32</v>
      </c>
      <c r="H45" s="2" t="n">
        <v>956.8</v>
      </c>
      <c r="I45" s="3">
        <f>H45/1000</f>
        <v/>
      </c>
    </row>
    <row r="46">
      <c r="A46" s="2" t="inlineStr">
        <is>
          <t>Alquimia</t>
        </is>
      </c>
      <c r="B46" s="2" t="inlineStr">
        <is>
          <t>Alça Fita</t>
        </is>
      </c>
      <c r="C46" s="2" t="inlineStr">
        <is>
          <t>40x50</t>
        </is>
      </c>
      <c r="D46" s="2" t="inlineStr">
        <is>
          <t>0,15</t>
        </is>
      </c>
      <c r="E46" s="2" t="inlineStr">
        <is>
          <t>Branco/Preto</t>
        </is>
      </c>
      <c r="F46" s="2" t="n">
        <v>28.75</v>
      </c>
      <c r="G46" s="2" t="n">
        <v>32</v>
      </c>
      <c r="H46" s="2" t="n">
        <v>920</v>
      </c>
      <c r="I46" s="3">
        <f>H46/1000</f>
        <v/>
      </c>
    </row>
    <row r="47">
      <c r="A47" s="2" t="inlineStr">
        <is>
          <t>Marfel</t>
        </is>
      </c>
      <c r="B47" s="2" t="inlineStr">
        <is>
          <t>Alça Fita</t>
        </is>
      </c>
      <c r="C47" s="2" t="inlineStr">
        <is>
          <t>40x50</t>
        </is>
      </c>
      <c r="D47" s="2" t="inlineStr">
        <is>
          <t>0,15</t>
        </is>
      </c>
      <c r="E47" s="2" t="inlineStr">
        <is>
          <t>Ouro/Rosa Neon</t>
        </is>
      </c>
      <c r="F47" s="2" t="n">
        <v>43.2</v>
      </c>
      <c r="G47" s="2" t="n">
        <v>34</v>
      </c>
      <c r="H47" s="2" t="n">
        <v>1468.8</v>
      </c>
      <c r="I47" s="3">
        <f>H47/1000</f>
        <v/>
      </c>
    </row>
    <row r="48">
      <c r="A48" s="2" t="inlineStr">
        <is>
          <t>Marfel</t>
        </is>
      </c>
      <c r="B48" s="2" t="inlineStr">
        <is>
          <t>Alça Fita</t>
        </is>
      </c>
      <c r="C48" s="2" t="inlineStr">
        <is>
          <t>40x50</t>
        </is>
      </c>
      <c r="D48" s="2" t="inlineStr">
        <is>
          <t>0,15</t>
        </is>
      </c>
      <c r="E48" s="2" t="inlineStr">
        <is>
          <t>Diversas cores</t>
        </is>
      </c>
      <c r="F48" s="2" t="n">
        <v>38.7</v>
      </c>
      <c r="G48" s="2" t="n">
        <v>34</v>
      </c>
      <c r="H48" s="2" t="n">
        <v>1315.8</v>
      </c>
      <c r="I48" s="3">
        <f>H48/1000</f>
        <v/>
      </c>
    </row>
    <row r="49">
      <c r="A49" s="2" t="inlineStr">
        <is>
          <t>Marfel</t>
        </is>
      </c>
      <c r="B49" s="2" t="inlineStr">
        <is>
          <t>Alça Fita</t>
        </is>
      </c>
      <c r="C49" s="2" t="inlineStr">
        <is>
          <t>45x55</t>
        </is>
      </c>
      <c r="D49" s="2" t="inlineStr">
        <is>
          <t>0,13</t>
        </is>
      </c>
      <c r="E49" s="2" t="inlineStr">
        <is>
          <t>Branco/Preto</t>
        </is>
      </c>
      <c r="F49" s="2" t="n">
        <v>38.7</v>
      </c>
      <c r="G49" s="2" t="n">
        <v>37.5</v>
      </c>
      <c r="H49" s="2" t="n">
        <v>1451.25</v>
      </c>
      <c r="I49" s="3">
        <f>H49/1000</f>
        <v/>
      </c>
    </row>
    <row r="50">
      <c r="A50" s="2" t="inlineStr">
        <is>
          <t>Alquimia</t>
        </is>
      </c>
      <c r="B50" s="2" t="inlineStr">
        <is>
          <t>Alça Fita</t>
        </is>
      </c>
      <c r="C50" s="2" t="inlineStr">
        <is>
          <t>45x55</t>
        </is>
      </c>
      <c r="D50" s="2" t="inlineStr">
        <is>
          <t>0,15</t>
        </is>
      </c>
      <c r="E50" s="2" t="inlineStr">
        <is>
          <t>Colorida</t>
        </is>
      </c>
      <c r="F50" s="2" t="n">
        <v>29.9</v>
      </c>
      <c r="G50" s="2" t="n">
        <v>40</v>
      </c>
      <c r="H50" s="2" t="n">
        <v>1196</v>
      </c>
      <c r="I50" s="3">
        <f>H50/1000</f>
        <v/>
      </c>
    </row>
    <row r="51">
      <c r="A51" s="2" t="inlineStr">
        <is>
          <t>Alquimia</t>
        </is>
      </c>
      <c r="B51" s="2" t="inlineStr">
        <is>
          <t>Alça Fita</t>
        </is>
      </c>
      <c r="C51" s="2" t="inlineStr">
        <is>
          <t>45x55</t>
        </is>
      </c>
      <c r="D51" s="2" t="inlineStr">
        <is>
          <t>0,15</t>
        </is>
      </c>
      <c r="E51" s="2" t="inlineStr">
        <is>
          <t>Branco/Preto</t>
        </is>
      </c>
      <c r="F51" s="2" t="n">
        <v>28.75</v>
      </c>
      <c r="G51" s="2" t="n">
        <v>40</v>
      </c>
      <c r="H51" s="2" t="n">
        <v>1150</v>
      </c>
      <c r="I51" s="3">
        <f>H51/1000</f>
        <v/>
      </c>
    </row>
    <row r="52">
      <c r="A52" s="2" t="inlineStr">
        <is>
          <t>Marfel</t>
        </is>
      </c>
      <c r="B52" s="2" t="inlineStr">
        <is>
          <t>Alça Fita</t>
        </is>
      </c>
      <c r="C52" s="2" t="inlineStr">
        <is>
          <t>45x55</t>
        </is>
      </c>
      <c r="D52" s="2" t="inlineStr">
        <is>
          <t>0,15</t>
        </is>
      </c>
      <c r="E52" s="2" t="inlineStr">
        <is>
          <t>Ouro/Rosa Neon</t>
        </is>
      </c>
      <c r="F52" s="2" t="n">
        <v>43.2</v>
      </c>
      <c r="G52" s="2" t="n">
        <v>40.8</v>
      </c>
      <c r="H52" s="2" t="n">
        <v>1762.56</v>
      </c>
      <c r="I52" s="3">
        <f>H52/1000</f>
        <v/>
      </c>
    </row>
    <row r="53">
      <c r="A53" s="2" t="inlineStr">
        <is>
          <t>Marfel</t>
        </is>
      </c>
      <c r="B53" s="2" t="inlineStr">
        <is>
          <t>Alça Fita</t>
        </is>
      </c>
      <c r="C53" s="2" t="inlineStr">
        <is>
          <t>45x55</t>
        </is>
      </c>
      <c r="D53" s="2" t="inlineStr">
        <is>
          <t>0,15</t>
        </is>
      </c>
      <c r="E53" s="2" t="inlineStr">
        <is>
          <t>Diversas cores</t>
        </is>
      </c>
      <c r="F53" s="2" t="n">
        <v>38.7</v>
      </c>
      <c r="G53" s="2" t="n">
        <v>40.8</v>
      </c>
      <c r="H53" s="2" t="n">
        <v>1578.96</v>
      </c>
      <c r="I53" s="3">
        <f>H53/1000</f>
        <v/>
      </c>
    </row>
    <row r="54">
      <c r="A54" s="2" t="inlineStr">
        <is>
          <t>Marfel</t>
        </is>
      </c>
      <c r="B54" s="2" t="inlineStr">
        <is>
          <t>Alça Vazada</t>
        </is>
      </c>
      <c r="C54" s="2" t="inlineStr">
        <is>
          <t>16x22</t>
        </is>
      </c>
      <c r="D54" s="2" t="inlineStr">
        <is>
          <t>0,10</t>
        </is>
      </c>
      <c r="E54" s="2" t="inlineStr">
        <is>
          <t>Diversas cores</t>
        </is>
      </c>
      <c r="F54" s="2" t="n">
        <v>36.2</v>
      </c>
      <c r="G54" s="2" t="n">
        <v>3.6</v>
      </c>
      <c r="H54" s="2" t="n">
        <v>130.32</v>
      </c>
      <c r="I54" s="3">
        <f>H54/1000</f>
        <v/>
      </c>
    </row>
    <row r="55">
      <c r="A55" s="2" t="inlineStr">
        <is>
          <t>Marfel</t>
        </is>
      </c>
      <c r="B55" s="2" t="inlineStr">
        <is>
          <t>Alça Vazada</t>
        </is>
      </c>
      <c r="C55" s="2" t="inlineStr">
        <is>
          <t>20x30</t>
        </is>
      </c>
      <c r="D55" s="2" t="inlineStr">
        <is>
          <t>0,06</t>
        </is>
      </c>
      <c r="E55" s="2" t="inlineStr">
        <is>
          <t>Branco</t>
        </is>
      </c>
      <c r="F55" s="2" t="n">
        <v>34.2</v>
      </c>
      <c r="G55" s="2" t="n">
        <v>4</v>
      </c>
      <c r="H55" s="2" t="n">
        <v>136.8</v>
      </c>
      <c r="I55" s="3">
        <f>H55/1000</f>
        <v/>
      </c>
    </row>
    <row r="56">
      <c r="A56" s="2" t="inlineStr">
        <is>
          <t>Alquimia</t>
        </is>
      </c>
      <c r="B56" s="2" t="inlineStr">
        <is>
          <t>Alça Vazada</t>
        </is>
      </c>
      <c r="C56" s="2" t="inlineStr">
        <is>
          <t>20x30</t>
        </is>
      </c>
      <c r="D56" s="2" t="inlineStr">
        <is>
          <t>0,08</t>
        </is>
      </c>
      <c r="E56" s="2" t="inlineStr">
        <is>
          <t>Branco/Preto</t>
        </is>
      </c>
      <c r="F56" s="2" t="n">
        <v>25.3</v>
      </c>
      <c r="G56" s="2" t="n">
        <v>4.6</v>
      </c>
      <c r="H56" s="2" t="n">
        <v>116.3</v>
      </c>
      <c r="I56" s="3">
        <f>H56/1000</f>
        <v/>
      </c>
    </row>
    <row r="57">
      <c r="A57" s="2" t="inlineStr">
        <is>
          <t>Alquimia</t>
        </is>
      </c>
      <c r="B57" s="2" t="inlineStr">
        <is>
          <t>Alça Vazada</t>
        </is>
      </c>
      <c r="C57" s="2" t="inlineStr">
        <is>
          <t>20x30</t>
        </is>
      </c>
      <c r="D57" s="2" t="inlineStr">
        <is>
          <t>0,08</t>
        </is>
      </c>
      <c r="E57" s="2" t="inlineStr">
        <is>
          <t>Colorida</t>
        </is>
      </c>
      <c r="F57" s="2" t="n">
        <v>26.5</v>
      </c>
      <c r="G57" s="2" t="n">
        <v>4.6</v>
      </c>
      <c r="H57" s="2" t="n">
        <v>121.9</v>
      </c>
      <c r="I57" s="3">
        <f>H57/1000</f>
        <v/>
      </c>
    </row>
    <row r="58">
      <c r="A58" s="2" t="inlineStr">
        <is>
          <t>Marfel</t>
        </is>
      </c>
      <c r="B58" s="2" t="inlineStr">
        <is>
          <t>Alça Vazada</t>
        </is>
      </c>
      <c r="C58" s="2" t="inlineStr">
        <is>
          <t>20x30</t>
        </is>
      </c>
      <c r="D58" s="2" t="inlineStr">
        <is>
          <t>0,08</t>
        </is>
      </c>
      <c r="E58" s="2" t="inlineStr">
        <is>
          <t>Diversas cores</t>
        </is>
      </c>
      <c r="F58" s="2" t="n">
        <v>34.2</v>
      </c>
      <c r="G58" s="2" t="n">
        <v>5</v>
      </c>
      <c r="H58" s="2" t="n">
        <v>171</v>
      </c>
      <c r="I58" s="3">
        <f>H58/1000</f>
        <v/>
      </c>
    </row>
    <row r="59">
      <c r="A59" s="2" t="inlineStr">
        <is>
          <t>Marfel</t>
        </is>
      </c>
      <c r="B59" s="2" t="inlineStr">
        <is>
          <t>Alça Vazada</t>
        </is>
      </c>
      <c r="C59" s="2" t="inlineStr">
        <is>
          <t>20x30</t>
        </is>
      </c>
      <c r="D59" s="2" t="inlineStr">
        <is>
          <t>0,12</t>
        </is>
      </c>
      <c r="E59" s="2" t="inlineStr">
        <is>
          <t>Diversas cores</t>
        </is>
      </c>
      <c r="F59" s="2" t="n">
        <v>34.2</v>
      </c>
      <c r="G59" s="2" t="n">
        <v>7.2</v>
      </c>
      <c r="H59" s="2" t="n">
        <v>246.24</v>
      </c>
      <c r="I59" s="3">
        <f>H59/1000</f>
        <v/>
      </c>
    </row>
    <row r="60">
      <c r="A60" s="2" t="inlineStr">
        <is>
          <t>Marfel</t>
        </is>
      </c>
      <c r="B60" s="2" t="inlineStr">
        <is>
          <t>Alça Vazada</t>
        </is>
      </c>
      <c r="C60" s="2" t="inlineStr">
        <is>
          <t>25x35</t>
        </is>
      </c>
      <c r="D60" s="2" t="inlineStr">
        <is>
          <t>0,06</t>
        </is>
      </c>
      <c r="E60" s="2" t="inlineStr">
        <is>
          <t>Branco</t>
        </is>
      </c>
      <c r="F60" s="2" t="n">
        <v>34.2</v>
      </c>
      <c r="G60" s="2" t="n">
        <v>7</v>
      </c>
      <c r="H60" s="2" t="n">
        <v>239.4</v>
      </c>
      <c r="I60" s="3">
        <f>H60/1000</f>
        <v/>
      </c>
    </row>
    <row r="61">
      <c r="A61" s="2" t="inlineStr">
        <is>
          <t>Alquimia</t>
        </is>
      </c>
      <c r="B61" s="2" t="inlineStr">
        <is>
          <t>Alça Vazada</t>
        </is>
      </c>
      <c r="C61" s="2" t="inlineStr">
        <is>
          <t>25x35</t>
        </is>
      </c>
      <c r="D61" s="2" t="inlineStr">
        <is>
          <t>0,08</t>
        </is>
      </c>
      <c r="E61" s="2" t="inlineStr">
        <is>
          <t>Branco/Preto</t>
        </is>
      </c>
      <c r="F61" s="2" t="n">
        <v>25.3</v>
      </c>
      <c r="G61" s="2" t="n">
        <v>7</v>
      </c>
      <c r="H61" s="2" t="n">
        <v>177.1</v>
      </c>
      <c r="I61" s="3">
        <f>H61/1000</f>
        <v/>
      </c>
    </row>
    <row r="62">
      <c r="A62" s="2" t="inlineStr">
        <is>
          <t>Alquimia</t>
        </is>
      </c>
      <c r="B62" s="2" t="inlineStr">
        <is>
          <t>Alça Vazada</t>
        </is>
      </c>
      <c r="C62" s="2" t="inlineStr">
        <is>
          <t>25x35</t>
        </is>
      </c>
      <c r="D62" s="2" t="inlineStr">
        <is>
          <t>0,08</t>
        </is>
      </c>
      <c r="E62" s="2" t="inlineStr">
        <is>
          <t>Colorida</t>
        </is>
      </c>
      <c r="F62" s="2" t="n">
        <v>26.5</v>
      </c>
      <c r="G62" s="2" t="n">
        <v>7</v>
      </c>
      <c r="H62" s="2" t="n">
        <v>185.5</v>
      </c>
      <c r="I62" s="3">
        <f>H62/1000</f>
        <v/>
      </c>
    </row>
    <row r="63">
      <c r="A63" s="2" t="inlineStr">
        <is>
          <t>Marfel</t>
        </is>
      </c>
      <c r="B63" s="2" t="inlineStr">
        <is>
          <t>Alça Vazada</t>
        </is>
      </c>
      <c r="C63" s="2" t="inlineStr">
        <is>
          <t>25x35</t>
        </is>
      </c>
      <c r="D63" s="2" t="inlineStr">
        <is>
          <t>0,08</t>
        </is>
      </c>
      <c r="E63" s="2" t="inlineStr">
        <is>
          <t>Diversas cores</t>
        </is>
      </c>
      <c r="F63" s="2" t="n">
        <v>34.2</v>
      </c>
      <c r="G63" s="2" t="n">
        <v>7</v>
      </c>
      <c r="H63" s="2" t="n">
        <v>239.4</v>
      </c>
      <c r="I63" s="3">
        <f>H63/1000</f>
        <v/>
      </c>
    </row>
    <row r="64">
      <c r="A64" s="2" t="inlineStr">
        <is>
          <t>Marfel</t>
        </is>
      </c>
      <c r="B64" s="2" t="inlineStr">
        <is>
          <t>Alça Vazada</t>
        </is>
      </c>
      <c r="C64" s="2" t="inlineStr">
        <is>
          <t>25x35</t>
        </is>
      </c>
      <c r="D64" s="2" t="inlineStr">
        <is>
          <t>0,12</t>
        </is>
      </c>
      <c r="E64" s="2" t="inlineStr">
        <is>
          <t>Diversas cores</t>
        </is>
      </c>
      <c r="F64" s="2" t="n">
        <v>34.2</v>
      </c>
      <c r="G64" s="2" t="n">
        <v>10.5</v>
      </c>
      <c r="H64" s="2" t="n">
        <v>359.1</v>
      </c>
      <c r="I64" s="3">
        <f>H64/1000</f>
        <v/>
      </c>
    </row>
    <row r="65">
      <c r="A65" s="2" t="inlineStr">
        <is>
          <t>Marfel</t>
        </is>
      </c>
      <c r="B65" s="2" t="inlineStr">
        <is>
          <t>Alça Vazada</t>
        </is>
      </c>
      <c r="C65" s="2" t="inlineStr">
        <is>
          <t>30x40</t>
        </is>
      </c>
      <c r="D65" s="2" t="inlineStr">
        <is>
          <t>0,06</t>
        </is>
      </c>
      <c r="E65" s="2" t="inlineStr">
        <is>
          <t>Branco</t>
        </is>
      </c>
      <c r="F65" s="2" t="n">
        <v>34.2</v>
      </c>
      <c r="G65" s="2" t="n">
        <v>7.5</v>
      </c>
      <c r="H65" s="2" t="n">
        <v>256.5</v>
      </c>
      <c r="I65" s="3">
        <f>H65/1000</f>
        <v/>
      </c>
    </row>
    <row r="66">
      <c r="A66" s="2" t="inlineStr">
        <is>
          <t>Alquimia</t>
        </is>
      </c>
      <c r="B66" s="2" t="inlineStr">
        <is>
          <t>Alça Vazada</t>
        </is>
      </c>
      <c r="C66" s="2" t="inlineStr">
        <is>
          <t>30x40</t>
        </is>
      </c>
      <c r="D66" s="2" t="inlineStr">
        <is>
          <t>0,08</t>
        </is>
      </c>
      <c r="E66" s="2" t="inlineStr">
        <is>
          <t>Colorida</t>
        </is>
      </c>
      <c r="F66" s="2" t="n">
        <v>26.5</v>
      </c>
      <c r="G66" s="2" t="n">
        <v>10</v>
      </c>
      <c r="H66" s="2" t="n">
        <v>265</v>
      </c>
      <c r="I66" s="3">
        <f>H66/1000</f>
        <v/>
      </c>
    </row>
    <row r="67">
      <c r="A67" s="2" t="inlineStr">
        <is>
          <t>Alquimia</t>
        </is>
      </c>
      <c r="B67" s="2" t="inlineStr">
        <is>
          <t>Alça Vazada</t>
        </is>
      </c>
      <c r="C67" s="2" t="inlineStr">
        <is>
          <t>30x40</t>
        </is>
      </c>
      <c r="D67" s="2" t="inlineStr">
        <is>
          <t>0,08</t>
        </is>
      </c>
      <c r="E67" s="2" t="inlineStr">
        <is>
          <t>Branco/Preto</t>
        </is>
      </c>
      <c r="F67" s="2" t="n">
        <v>25.3</v>
      </c>
      <c r="G67" s="2" t="n">
        <v>9.9</v>
      </c>
      <c r="H67" s="2" t="n">
        <v>250.4</v>
      </c>
      <c r="I67" s="3">
        <f>H67/1000</f>
        <v/>
      </c>
    </row>
    <row r="68">
      <c r="A68" s="2" t="inlineStr">
        <is>
          <t>Marfel</t>
        </is>
      </c>
      <c r="B68" s="2" t="inlineStr">
        <is>
          <t>Alça Vazada</t>
        </is>
      </c>
      <c r="C68" s="2" t="inlineStr">
        <is>
          <t>30x40</t>
        </is>
      </c>
      <c r="D68" s="2" t="inlineStr">
        <is>
          <t>0,08</t>
        </is>
      </c>
      <c r="E68" s="2" t="inlineStr">
        <is>
          <t>Diversas cores</t>
        </is>
      </c>
      <c r="F68" s="2" t="n">
        <v>34.2</v>
      </c>
      <c r="G68" s="2" t="n">
        <v>10</v>
      </c>
      <c r="H68" s="2" t="n">
        <v>342</v>
      </c>
      <c r="I68" s="3">
        <f>H68/1000</f>
        <v/>
      </c>
    </row>
    <row r="69">
      <c r="A69" s="2" t="inlineStr">
        <is>
          <t>Marfel</t>
        </is>
      </c>
      <c r="B69" s="2" t="inlineStr">
        <is>
          <t>Alça Vazada</t>
        </is>
      </c>
      <c r="C69" s="2" t="inlineStr">
        <is>
          <t>30x40</t>
        </is>
      </c>
      <c r="D69" s="2" t="inlineStr">
        <is>
          <t>0,10</t>
        </is>
      </c>
      <c r="E69" s="2" t="inlineStr">
        <is>
          <t>Branco/Preto</t>
        </is>
      </c>
      <c r="F69" s="2" t="n">
        <v>34.2</v>
      </c>
      <c r="G69" s="2" t="n">
        <v>12</v>
      </c>
      <c r="H69" s="2" t="n">
        <v>410.4</v>
      </c>
      <c r="I69" s="3">
        <f>H69/1000</f>
        <v/>
      </c>
    </row>
    <row r="70">
      <c r="A70" s="2" t="inlineStr">
        <is>
          <t>Marfel</t>
        </is>
      </c>
      <c r="B70" s="2" t="inlineStr">
        <is>
          <t>Alça Vazada</t>
        </is>
      </c>
      <c r="C70" s="2" t="inlineStr">
        <is>
          <t>30x40</t>
        </is>
      </c>
      <c r="D70" s="2" t="inlineStr">
        <is>
          <t>0,12</t>
        </is>
      </c>
      <c r="E70" s="2" t="inlineStr">
        <is>
          <t>Diversas cores</t>
        </is>
      </c>
      <c r="F70" s="2" t="n">
        <v>34.2</v>
      </c>
      <c r="G70" s="2" t="n">
        <v>14.4</v>
      </c>
      <c r="H70" s="2" t="n">
        <v>492.48</v>
      </c>
      <c r="I70" s="3">
        <f>H70/1000</f>
        <v/>
      </c>
    </row>
    <row r="71">
      <c r="A71" s="2" t="inlineStr">
        <is>
          <t>Marfel</t>
        </is>
      </c>
      <c r="B71" s="2" t="inlineStr">
        <is>
          <t>Alça Vazada</t>
        </is>
      </c>
      <c r="C71" s="2" t="inlineStr">
        <is>
          <t>36x48</t>
        </is>
      </c>
      <c r="D71" s="2" t="inlineStr">
        <is>
          <t>0,06</t>
        </is>
      </c>
      <c r="E71" s="2" t="inlineStr">
        <is>
          <t>Branco</t>
        </is>
      </c>
      <c r="F71" s="2" t="n">
        <v>34.2</v>
      </c>
      <c r="G71" s="2" t="n">
        <v>10.5</v>
      </c>
      <c r="H71" s="2" t="n">
        <v>359.1</v>
      </c>
      <c r="I71" s="3">
        <f>H71/1000</f>
        <v/>
      </c>
    </row>
    <row r="72">
      <c r="A72" s="2" t="inlineStr">
        <is>
          <t>Marfel</t>
        </is>
      </c>
      <c r="B72" s="2" t="inlineStr">
        <is>
          <t>Alça Vazada</t>
        </is>
      </c>
      <c r="C72" s="2" t="inlineStr">
        <is>
          <t>36x48</t>
        </is>
      </c>
      <c r="D72" s="2" t="inlineStr">
        <is>
          <t>0,09</t>
        </is>
      </c>
      <c r="E72" s="2" t="inlineStr">
        <is>
          <t>Diversas cores</t>
        </is>
      </c>
      <c r="F72" s="2" t="n">
        <v>34.2</v>
      </c>
      <c r="G72" s="2" t="n">
        <v>15.8</v>
      </c>
      <c r="H72" s="2" t="n">
        <v>540.36</v>
      </c>
      <c r="I72" s="3">
        <f>H72/1000</f>
        <v/>
      </c>
    </row>
    <row r="73">
      <c r="A73" s="2" t="inlineStr">
        <is>
          <t>Marfel</t>
        </is>
      </c>
      <c r="B73" s="2" t="inlineStr">
        <is>
          <t>Alça Vazada</t>
        </is>
      </c>
      <c r="C73" s="2" t="inlineStr">
        <is>
          <t>36x48</t>
        </is>
      </c>
      <c r="D73" s="2" t="inlineStr">
        <is>
          <t>0,12</t>
        </is>
      </c>
      <c r="E73" s="2" t="inlineStr">
        <is>
          <t>Diversas cores</t>
        </is>
      </c>
      <c r="F73" s="2" t="n">
        <v>34.2</v>
      </c>
      <c r="G73" s="2" t="n">
        <v>20.7</v>
      </c>
      <c r="H73" s="2" t="n">
        <v>707.9400000000001</v>
      </c>
      <c r="I73" s="3">
        <f>H73/1000</f>
        <v/>
      </c>
    </row>
    <row r="74">
      <c r="A74" s="2" t="inlineStr">
        <is>
          <t>Alquimia</t>
        </is>
      </c>
      <c r="B74" s="2" t="inlineStr">
        <is>
          <t>Alça Vazada</t>
        </is>
      </c>
      <c r="C74" s="2" t="inlineStr">
        <is>
          <t>40x50</t>
        </is>
      </c>
      <c r="D74" s="2" t="inlineStr">
        <is>
          <t>0,08</t>
        </is>
      </c>
      <c r="E74" s="2" t="inlineStr">
        <is>
          <t>Colorida (transp.)</t>
        </is>
      </c>
      <c r="F74" s="2" t="n">
        <v>26.5</v>
      </c>
      <c r="G74" s="2" t="n">
        <v>16</v>
      </c>
      <c r="H74" s="2" t="n">
        <v>424</v>
      </c>
      <c r="I74" s="3">
        <f>H74/1000</f>
        <v/>
      </c>
    </row>
    <row r="75">
      <c r="A75" s="2" t="inlineStr">
        <is>
          <t>Alquimia</t>
        </is>
      </c>
      <c r="B75" s="2" t="inlineStr">
        <is>
          <t>Alça Vazada</t>
        </is>
      </c>
      <c r="C75" s="2" t="inlineStr">
        <is>
          <t>40x50</t>
        </is>
      </c>
      <c r="D75" s="2" t="inlineStr">
        <is>
          <t>0,08</t>
        </is>
      </c>
      <c r="E75" s="2" t="inlineStr">
        <is>
          <t>Branco/Preto</t>
        </is>
      </c>
      <c r="F75" s="2" t="n">
        <v>25.3</v>
      </c>
      <c r="G75" s="2" t="n">
        <v>16</v>
      </c>
      <c r="H75" s="2" t="n">
        <v>404.8</v>
      </c>
      <c r="I75" s="3">
        <f>H75/1000</f>
        <v/>
      </c>
    </row>
    <row r="76">
      <c r="A76" s="2" t="inlineStr">
        <is>
          <t>Marfel</t>
        </is>
      </c>
      <c r="B76" s="2" t="inlineStr">
        <is>
          <t>Alça Vazada</t>
        </is>
      </c>
      <c r="C76" s="2" t="inlineStr">
        <is>
          <t>40x50</t>
        </is>
      </c>
      <c r="D76" s="2" t="inlineStr">
        <is>
          <t>0,10</t>
        </is>
      </c>
      <c r="E76" s="2" t="inlineStr">
        <is>
          <t>Diversas cores</t>
        </is>
      </c>
      <c r="F76" s="2" t="n">
        <v>34.2</v>
      </c>
      <c r="G76" s="2" t="n">
        <v>20</v>
      </c>
      <c r="H76" s="2" t="n">
        <v>684</v>
      </c>
      <c r="I76" s="3">
        <f>H76/1000</f>
        <v/>
      </c>
    </row>
    <row r="77">
      <c r="A77" s="2" t="inlineStr">
        <is>
          <t>Marfel</t>
        </is>
      </c>
      <c r="B77" s="2" t="inlineStr">
        <is>
          <t>Alça Vazada</t>
        </is>
      </c>
      <c r="C77" s="2" t="inlineStr">
        <is>
          <t>40x50</t>
        </is>
      </c>
      <c r="D77" s="2" t="inlineStr">
        <is>
          <t>0,12</t>
        </is>
      </c>
      <c r="E77" s="2" t="inlineStr">
        <is>
          <t>Diversas cores</t>
        </is>
      </c>
      <c r="F77" s="2" t="n">
        <v>34.2</v>
      </c>
      <c r="G77" s="2" t="n">
        <v>24</v>
      </c>
      <c r="H77" s="2" t="n">
        <v>820.8</v>
      </c>
      <c r="I77" s="3">
        <f>H77/1000</f>
        <v/>
      </c>
    </row>
    <row r="78">
      <c r="A78" s="2" t="inlineStr">
        <is>
          <t>Marfel</t>
        </is>
      </c>
      <c r="B78" s="2" t="inlineStr">
        <is>
          <t>Alça Vazada</t>
        </is>
      </c>
      <c r="C78" s="2" t="inlineStr">
        <is>
          <t>45x60</t>
        </is>
      </c>
      <c r="D78" s="2" t="inlineStr">
        <is>
          <t>0,12</t>
        </is>
      </c>
      <c r="E78" s="2" t="inlineStr">
        <is>
          <t>Diversas cores</t>
        </is>
      </c>
      <c r="F78" s="2" t="n">
        <v>34.2</v>
      </c>
      <c r="G78" s="2" t="n">
        <v>32.5</v>
      </c>
      <c r="H78" s="2" t="n">
        <v>1111.5</v>
      </c>
      <c r="I78" s="3">
        <f>H78/1000</f>
        <v/>
      </c>
    </row>
    <row r="79">
      <c r="A79" s="2" t="inlineStr">
        <is>
          <t>Alquimia</t>
        </is>
      </c>
      <c r="B79" s="2" t="inlineStr">
        <is>
          <t>Alça Vazada</t>
        </is>
      </c>
      <c r="C79" s="2" t="inlineStr">
        <is>
          <t>50x60</t>
        </is>
      </c>
      <c r="D79" s="2" t="inlineStr">
        <is>
          <t>0,10</t>
        </is>
      </c>
      <c r="E79" s="2" t="inlineStr">
        <is>
          <t>Branco/Preto</t>
        </is>
      </c>
      <c r="F79" s="2" t="n">
        <v>25.3</v>
      </c>
      <c r="G79" s="2" t="n">
        <v>30</v>
      </c>
      <c r="H79" s="2" t="n">
        <v>759</v>
      </c>
      <c r="I79" s="3">
        <f>H79/1000</f>
        <v/>
      </c>
    </row>
    <row r="80">
      <c r="A80" s="2" t="inlineStr">
        <is>
          <t>Alquimia</t>
        </is>
      </c>
      <c r="B80" s="2" t="inlineStr">
        <is>
          <t>Alça Vazada</t>
        </is>
      </c>
      <c r="C80" s="2" t="inlineStr">
        <is>
          <t>50x60</t>
        </is>
      </c>
      <c r="D80" s="2" t="inlineStr">
        <is>
          <t>0,10</t>
        </is>
      </c>
      <c r="E80" s="2" t="inlineStr">
        <is>
          <t>Colorida (transp.)</t>
        </is>
      </c>
      <c r="F80" s="2" t="n">
        <v>26.5</v>
      </c>
      <c r="G80" s="2" t="n">
        <v>30</v>
      </c>
      <c r="H80" s="2" t="n">
        <v>795</v>
      </c>
      <c r="I80" s="3">
        <f>H80/1000</f>
        <v/>
      </c>
    </row>
    <row r="82">
      <c r="A82" s="4" t="inlineStr">
        <is>
          <t>Fonte: FornecedorCusto (79 linhas Marfel+Alquimia, incluindo custos importados de 'Tabela MARFEL V01JUN26.pdf'). Custo Unitário = Custo Milheiro / 1000.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5" customWidth="1" min="8" max="8"/>
    <col width="17" customWidth="1" min="9" max="9"/>
    <col width="13" customWidth="1" min="10" max="10"/>
    <col width="15" customWidth="1" min="11" max="11"/>
    <col width="12" customWidth="1" min="12" max="12"/>
    <col width="15" customWidth="1" min="13" max="13"/>
    <col width="22" customWidth="1" min="14" max="14"/>
    <col width="46" customWidth="1" min="15" max="15"/>
  </cols>
  <sheetData>
    <row r="1">
      <c r="A1" s="5" t="inlineStr">
        <is>
          <t>AUDITORIA DE PREÇOS POR GRAMATURA — Serigraph e Cia (catálogo completo)</t>
        </is>
      </c>
    </row>
    <row r="2">
      <c r="A2" s="4" t="inlineStr">
        <is>
          <t>Preço por Modelo + Tamanho + Gramatura. Maior custo entre fornecedores + R$0,30/un + margem por faixa (100% a 40%, da menor pra maior quantidade). Linhas verdes = tamanho/gramatura novo, incluído a partir da tabela Marfel V01JUN26.</t>
        </is>
      </c>
    </row>
    <row r="4" ht="30" customHeight="1">
      <c r="A4" s="1" t="inlineStr">
        <is>
          <t>Produto</t>
        </is>
      </c>
      <c r="B4" s="1" t="inlineStr">
        <is>
          <t>Tamanho</t>
        </is>
      </c>
      <c r="C4" s="1" t="inlineStr">
        <is>
          <t>Gramatura</t>
        </is>
      </c>
      <c r="D4" s="1" t="inlineStr">
        <is>
          <t>Faixa de Quantidade</t>
        </is>
      </c>
      <c r="E4" s="1" t="inlineStr">
        <is>
          <t>Qtd. de referência</t>
        </is>
      </c>
      <c r="F4" s="1" t="inlineStr">
        <is>
          <t>Valor Marfel (R$/un)</t>
        </is>
      </c>
      <c r="G4" s="1" t="inlineStr">
        <is>
          <t>Valor Alquimia (R$/un)</t>
        </is>
      </c>
      <c r="H4" s="1" t="inlineStr">
        <is>
          <t>Maior valor utilizado (R$/un)</t>
        </is>
      </c>
      <c r="I4" s="1" t="inlineStr">
        <is>
          <t>Fornecedor utilizado</t>
        </is>
      </c>
      <c r="J4" s="1" t="inlineStr">
        <is>
          <t>Acréscimo operacional (R$/un)</t>
        </is>
      </c>
      <c r="K4" s="1" t="inlineStr">
        <is>
          <t>Custo total atualizado (R$/un)</t>
        </is>
      </c>
      <c r="L4" s="1" t="inlineStr">
        <is>
          <t>Percentual aplicado</t>
        </is>
      </c>
      <c r="M4" s="1" t="inlineStr">
        <is>
          <t>Preço final de venda (R$/un)</t>
        </is>
      </c>
      <c r="N4" s="1" t="inlineStr">
        <is>
          <t>Situação</t>
        </is>
      </c>
      <c r="O4" s="1" t="inlineStr">
        <is>
          <t>Observações</t>
        </is>
      </c>
    </row>
    <row r="5">
      <c r="A5" s="6" t="inlineStr">
        <is>
          <t>Alça Camiseta</t>
        </is>
      </c>
      <c r="B5" s="7" t="inlineStr">
        <is>
          <t>25x35</t>
        </is>
      </c>
      <c r="C5" s="7" t="inlineStr">
        <is>
          <t>0,04</t>
        </is>
      </c>
      <c r="D5" s="7" t="inlineStr">
        <is>
          <t>100–199</t>
        </is>
      </c>
      <c r="E5" s="7" t="n">
        <v>100</v>
      </c>
      <c r="F5" s="8" t="n">
        <v>0.1178</v>
      </c>
      <c r="G5" s="8" t="n">
        <v>0</v>
      </c>
      <c r="H5" s="8" t="n">
        <v>0.1178</v>
      </c>
      <c r="I5" s="9" t="inlineStr">
        <is>
          <t>Marfel (unico)</t>
        </is>
      </c>
      <c r="J5" s="8" t="n">
        <v>0.3</v>
      </c>
      <c r="K5" s="10">
        <f>H5+J5</f>
        <v/>
      </c>
      <c r="L5" s="11" t="n">
        <v>1</v>
      </c>
      <c r="M5" s="10">
        <f>K5*(1+L5)</f>
        <v/>
      </c>
      <c r="N5" s="7" t="inlineStr">
        <is>
          <t>NOVO (Tabela Marfel V01JUN26)</t>
        </is>
      </c>
      <c r="O5" s="12" t="inlineStr">
        <is>
          <t>Sem custo cadastrado da Alquimia para esta gramatura — usado apenas o valor da Marfel.</t>
        </is>
      </c>
    </row>
    <row r="6">
      <c r="A6" s="6" t="inlineStr">
        <is>
          <t>Alça Camiseta</t>
        </is>
      </c>
      <c r="B6" s="7" t="inlineStr">
        <is>
          <t>25x35</t>
        </is>
      </c>
      <c r="C6" s="7" t="inlineStr">
        <is>
          <t>0,04</t>
        </is>
      </c>
      <c r="D6" s="7" t="inlineStr">
        <is>
          <t>200–299</t>
        </is>
      </c>
      <c r="E6" s="7" t="n">
        <v>200</v>
      </c>
      <c r="F6" s="8" t="n">
        <v>0.1178</v>
      </c>
      <c r="G6" s="8" t="n">
        <v>0</v>
      </c>
      <c r="H6" s="8" t="n">
        <v>0.1178</v>
      </c>
      <c r="I6" s="9" t="inlineStr">
        <is>
          <t>Marfel (unico)</t>
        </is>
      </c>
      <c r="J6" s="8" t="n">
        <v>0.3</v>
      </c>
      <c r="K6" s="10">
        <f>H6+J6</f>
        <v/>
      </c>
      <c r="L6" s="11" t="n">
        <v>0.75</v>
      </c>
      <c r="M6" s="10">
        <f>K6*(1+L6)</f>
        <v/>
      </c>
      <c r="N6" s="7" t="inlineStr">
        <is>
          <t>NOVO (Tabela Marfel V01JUN26)</t>
        </is>
      </c>
      <c r="O6" s="12" t="inlineStr">
        <is>
          <t>Sem custo cadastrado da Alquimia para esta gramatura — usado apenas o valor da Marfel.</t>
        </is>
      </c>
    </row>
    <row r="7">
      <c r="A7" s="6" t="inlineStr">
        <is>
          <t>Alça Camiseta</t>
        </is>
      </c>
      <c r="B7" s="7" t="inlineStr">
        <is>
          <t>25x35</t>
        </is>
      </c>
      <c r="C7" s="7" t="inlineStr">
        <is>
          <t>0,04</t>
        </is>
      </c>
      <c r="D7" s="7" t="inlineStr">
        <is>
          <t>300–399</t>
        </is>
      </c>
      <c r="E7" s="7" t="n">
        <v>300</v>
      </c>
      <c r="F7" s="8" t="n">
        <v>0.1178</v>
      </c>
      <c r="G7" s="8" t="n">
        <v>0</v>
      </c>
      <c r="H7" s="8" t="n">
        <v>0.1178</v>
      </c>
      <c r="I7" s="9" t="inlineStr">
        <is>
          <t>Marfel (unico)</t>
        </is>
      </c>
      <c r="J7" s="8" t="n">
        <v>0.3</v>
      </c>
      <c r="K7" s="10">
        <f>H7+J7</f>
        <v/>
      </c>
      <c r="L7" s="11" t="n">
        <v>0.7</v>
      </c>
      <c r="M7" s="10">
        <f>K7*(1+L7)</f>
        <v/>
      </c>
      <c r="N7" s="7" t="inlineStr">
        <is>
          <t>NOVO (Tabela Marfel V01JUN26)</t>
        </is>
      </c>
      <c r="O7" s="12" t="inlineStr">
        <is>
          <t>Sem custo cadastrado da Alquimia para esta gramatura — usado apenas o valor da Marfel.</t>
        </is>
      </c>
    </row>
    <row r="8">
      <c r="A8" s="6" t="inlineStr">
        <is>
          <t>Alça Camiseta</t>
        </is>
      </c>
      <c r="B8" s="7" t="inlineStr">
        <is>
          <t>25x35</t>
        </is>
      </c>
      <c r="C8" s="7" t="inlineStr">
        <is>
          <t>0,04</t>
        </is>
      </c>
      <c r="D8" s="7" t="inlineStr">
        <is>
          <t>400–499</t>
        </is>
      </c>
      <c r="E8" s="7" t="n">
        <v>400</v>
      </c>
      <c r="F8" s="8" t="n">
        <v>0.1178</v>
      </c>
      <c r="G8" s="8" t="n">
        <v>0</v>
      </c>
      <c r="H8" s="8" t="n">
        <v>0.1178</v>
      </c>
      <c r="I8" s="9" t="inlineStr">
        <is>
          <t>Marfel (unico)</t>
        </is>
      </c>
      <c r="J8" s="8" t="n">
        <v>0.3</v>
      </c>
      <c r="K8" s="10">
        <f>H8+J8</f>
        <v/>
      </c>
      <c r="L8" s="11" t="n">
        <v>0.65</v>
      </c>
      <c r="M8" s="10">
        <f>K8*(1+L8)</f>
        <v/>
      </c>
      <c r="N8" s="7" t="inlineStr">
        <is>
          <t>NOVO (Tabela Marfel V01JUN26)</t>
        </is>
      </c>
      <c r="O8" s="12" t="inlineStr">
        <is>
          <t>Sem custo cadastrado da Alquimia para esta gramatura — usado apenas o valor da Marfel.</t>
        </is>
      </c>
    </row>
    <row r="9">
      <c r="A9" s="6" t="inlineStr">
        <is>
          <t>Alça Camiseta</t>
        </is>
      </c>
      <c r="B9" s="7" t="inlineStr">
        <is>
          <t>25x35</t>
        </is>
      </c>
      <c r="C9" s="7" t="inlineStr">
        <is>
          <t>0,04</t>
        </is>
      </c>
      <c r="D9" s="7" t="inlineStr">
        <is>
          <t>500–599</t>
        </is>
      </c>
      <c r="E9" s="7" t="n">
        <v>500</v>
      </c>
      <c r="F9" s="8" t="n">
        <v>0.1178</v>
      </c>
      <c r="G9" s="8" t="n">
        <v>0</v>
      </c>
      <c r="H9" s="8" t="n">
        <v>0.1178</v>
      </c>
      <c r="I9" s="9" t="inlineStr">
        <is>
          <t>Marfel (unico)</t>
        </is>
      </c>
      <c r="J9" s="8" t="n">
        <v>0.3</v>
      </c>
      <c r="K9" s="10">
        <f>H9+J9</f>
        <v/>
      </c>
      <c r="L9" s="11" t="n">
        <v>0.6</v>
      </c>
      <c r="M9" s="10">
        <f>K9*(1+L9)</f>
        <v/>
      </c>
      <c r="N9" s="7" t="inlineStr">
        <is>
          <t>NOVO (Tabela Marfel V01JUN26)</t>
        </is>
      </c>
      <c r="O9" s="12" t="inlineStr">
        <is>
          <t>Sem custo cadastrado da Alquimia para esta gramatura — usado apenas o valor da Marfel.</t>
        </is>
      </c>
    </row>
    <row r="10">
      <c r="A10" s="6" t="inlineStr">
        <is>
          <t>Alça Camiseta</t>
        </is>
      </c>
      <c r="B10" s="7" t="inlineStr">
        <is>
          <t>25x35</t>
        </is>
      </c>
      <c r="C10" s="7" t="inlineStr">
        <is>
          <t>0,04</t>
        </is>
      </c>
      <c r="D10" s="7" t="inlineStr">
        <is>
          <t>600–699</t>
        </is>
      </c>
      <c r="E10" s="7" t="n">
        <v>600</v>
      </c>
      <c r="F10" s="8" t="n">
        <v>0.1178</v>
      </c>
      <c r="G10" s="8" t="n">
        <v>0</v>
      </c>
      <c r="H10" s="8" t="n">
        <v>0.1178</v>
      </c>
      <c r="I10" s="9" t="inlineStr">
        <is>
          <t>Marfel (unico)</t>
        </is>
      </c>
      <c r="J10" s="8" t="n">
        <v>0.3</v>
      </c>
      <c r="K10" s="10">
        <f>H10+J10</f>
        <v/>
      </c>
      <c r="L10" s="11" t="n">
        <v>0.57</v>
      </c>
      <c r="M10" s="10">
        <f>K10*(1+L10)</f>
        <v/>
      </c>
      <c r="N10" s="7" t="inlineStr">
        <is>
          <t>NOVO (Tabela Marfel V01JUN26)</t>
        </is>
      </c>
      <c r="O10" s="12" t="inlineStr">
        <is>
          <t>Sem custo cadastrado da Alquimia para esta gramatura — usado apenas o valor da Marfel.</t>
        </is>
      </c>
    </row>
    <row r="11">
      <c r="A11" s="6" t="inlineStr">
        <is>
          <t>Alça Camiseta</t>
        </is>
      </c>
      <c r="B11" s="7" t="inlineStr">
        <is>
          <t>25x35</t>
        </is>
      </c>
      <c r="C11" s="7" t="inlineStr">
        <is>
          <t>0,04</t>
        </is>
      </c>
      <c r="D11" s="7" t="inlineStr">
        <is>
          <t>700–799</t>
        </is>
      </c>
      <c r="E11" s="7" t="n">
        <v>700</v>
      </c>
      <c r="F11" s="8" t="n">
        <v>0.1178</v>
      </c>
      <c r="G11" s="8" t="n">
        <v>0</v>
      </c>
      <c r="H11" s="8" t="n">
        <v>0.1178</v>
      </c>
      <c r="I11" s="9" t="inlineStr">
        <is>
          <t>Marfel (unico)</t>
        </is>
      </c>
      <c r="J11" s="8" t="n">
        <v>0.3</v>
      </c>
      <c r="K11" s="10">
        <f>H11+J11</f>
        <v/>
      </c>
      <c r="L11" s="11" t="n">
        <v>0.54</v>
      </c>
      <c r="M11" s="10">
        <f>K11*(1+L11)</f>
        <v/>
      </c>
      <c r="N11" s="7" t="inlineStr">
        <is>
          <t>NOVO (Tabela Marfel V01JUN26)</t>
        </is>
      </c>
      <c r="O11" s="12" t="inlineStr">
        <is>
          <t>Sem custo cadastrado da Alquimia para esta gramatura — usado apenas o valor da Marfel.</t>
        </is>
      </c>
    </row>
    <row r="12">
      <c r="A12" s="6" t="inlineStr">
        <is>
          <t>Alça Camiseta</t>
        </is>
      </c>
      <c r="B12" s="7" t="inlineStr">
        <is>
          <t>25x35</t>
        </is>
      </c>
      <c r="C12" s="7" t="inlineStr">
        <is>
          <t>0,04</t>
        </is>
      </c>
      <c r="D12" s="7" t="inlineStr">
        <is>
          <t>800–899</t>
        </is>
      </c>
      <c r="E12" s="7" t="n">
        <v>800</v>
      </c>
      <c r="F12" s="8" t="n">
        <v>0.1178</v>
      </c>
      <c r="G12" s="8" t="n">
        <v>0</v>
      </c>
      <c r="H12" s="8" t="n">
        <v>0.1178</v>
      </c>
      <c r="I12" s="9" t="inlineStr">
        <is>
          <t>Marfel (unico)</t>
        </is>
      </c>
      <c r="J12" s="8" t="n">
        <v>0.3</v>
      </c>
      <c r="K12" s="10">
        <f>H12+J12</f>
        <v/>
      </c>
      <c r="L12" s="11" t="n">
        <v>0.51</v>
      </c>
      <c r="M12" s="10">
        <f>K12*(1+L12)</f>
        <v/>
      </c>
      <c r="N12" s="7" t="inlineStr">
        <is>
          <t>NOVO (Tabela Marfel V01JUN26)</t>
        </is>
      </c>
      <c r="O12" s="12" t="inlineStr">
        <is>
          <t>Sem custo cadastrado da Alquimia para esta gramatura — usado apenas o valor da Marfel.</t>
        </is>
      </c>
    </row>
    <row r="13">
      <c r="A13" s="6" t="inlineStr">
        <is>
          <t>Alça Camiseta</t>
        </is>
      </c>
      <c r="B13" s="7" t="inlineStr">
        <is>
          <t>25x35</t>
        </is>
      </c>
      <c r="C13" s="7" t="inlineStr">
        <is>
          <t>0,04</t>
        </is>
      </c>
      <c r="D13" s="7" t="inlineStr">
        <is>
          <t>900–999</t>
        </is>
      </c>
      <c r="E13" s="7" t="n">
        <v>900</v>
      </c>
      <c r="F13" s="8" t="n">
        <v>0.1178</v>
      </c>
      <c r="G13" s="8" t="n">
        <v>0</v>
      </c>
      <c r="H13" s="8" t="n">
        <v>0.1178</v>
      </c>
      <c r="I13" s="9" t="inlineStr">
        <is>
          <t>Marfel (unico)</t>
        </is>
      </c>
      <c r="J13" s="8" t="n">
        <v>0.3</v>
      </c>
      <c r="K13" s="10">
        <f>H13+J13</f>
        <v/>
      </c>
      <c r="L13" s="11" t="n">
        <v>0.48</v>
      </c>
      <c r="M13" s="10">
        <f>K13*(1+L13)</f>
        <v/>
      </c>
      <c r="N13" s="7" t="inlineStr">
        <is>
          <t>NOVO (Tabela Marfel V01JUN26)</t>
        </is>
      </c>
      <c r="O13" s="12" t="inlineStr">
        <is>
          <t>Sem custo cadastrado da Alquimia para esta gramatura — usado apenas o valor da Marfel.</t>
        </is>
      </c>
    </row>
    <row r="14">
      <c r="A14" s="6" t="inlineStr">
        <is>
          <t>Alça Camiseta</t>
        </is>
      </c>
      <c r="B14" s="7" t="inlineStr">
        <is>
          <t>25x35</t>
        </is>
      </c>
      <c r="C14" s="7" t="inlineStr">
        <is>
          <t>0,04</t>
        </is>
      </c>
      <c r="D14" s="7" t="inlineStr">
        <is>
          <t>1000+</t>
        </is>
      </c>
      <c r="E14" s="7" t="n">
        <v>1000</v>
      </c>
      <c r="F14" s="8" t="n">
        <v>0.1178</v>
      </c>
      <c r="G14" s="8" t="n">
        <v>0</v>
      </c>
      <c r="H14" s="8" t="n">
        <v>0.1178</v>
      </c>
      <c r="I14" s="9" t="inlineStr">
        <is>
          <t>Marfel (unico)</t>
        </is>
      </c>
      <c r="J14" s="8" t="n">
        <v>0.3</v>
      </c>
      <c r="K14" s="10">
        <f>H14+J14</f>
        <v/>
      </c>
      <c r="L14" s="11" t="n">
        <v>0.4</v>
      </c>
      <c r="M14" s="10">
        <f>K14*(1+L14)</f>
        <v/>
      </c>
      <c r="N14" s="7" t="inlineStr">
        <is>
          <t>NOVO (Tabela Marfel V01JUN26)</t>
        </is>
      </c>
      <c r="O14" s="12" t="inlineStr">
        <is>
          <t>Sem custo cadastrado da Alquimia para esta gramatura — usado apenas o valor da Marfel.</t>
        </is>
      </c>
    </row>
    <row r="15">
      <c r="A15" s="6" t="inlineStr">
        <is>
          <t>Alça Camiseta</t>
        </is>
      </c>
      <c r="B15" s="7" t="inlineStr">
        <is>
          <t>30x40</t>
        </is>
      </c>
      <c r="C15" s="7" t="inlineStr">
        <is>
          <t>0,04-0,06</t>
        </is>
      </c>
      <c r="D15" s="7" t="inlineStr">
        <is>
          <t>100–199</t>
        </is>
      </c>
      <c r="E15" s="7" t="n">
        <v>100</v>
      </c>
      <c r="F15" s="8" t="n">
        <v>0</v>
      </c>
      <c r="G15" s="8" t="n">
        <v>0.1012</v>
      </c>
      <c r="H15" s="8" t="n">
        <v>0.1012</v>
      </c>
      <c r="I15" s="9" t="inlineStr">
        <is>
          <t>Alquimia (unico)</t>
        </is>
      </c>
      <c r="J15" s="8" t="n">
        <v>0.3</v>
      </c>
      <c r="K15" s="10">
        <f>H15+J15</f>
        <v/>
      </c>
      <c r="L15" s="11" t="n">
        <v>1</v>
      </c>
      <c r="M15" s="10">
        <f>K15*(1+L15)</f>
        <v/>
      </c>
      <c r="N15" s="7" t="inlineStr">
        <is>
          <t>já existia</t>
        </is>
      </c>
      <c r="O15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6">
      <c r="A16" s="6" t="inlineStr">
        <is>
          <t>Alça Camiseta</t>
        </is>
      </c>
      <c r="B16" s="7" t="inlineStr">
        <is>
          <t>30x40</t>
        </is>
      </c>
      <c r="C16" s="7" t="inlineStr">
        <is>
          <t>0,04-0,06</t>
        </is>
      </c>
      <c r="D16" s="7" t="inlineStr">
        <is>
          <t>200–299</t>
        </is>
      </c>
      <c r="E16" s="7" t="n">
        <v>200</v>
      </c>
      <c r="F16" s="8" t="n">
        <v>0</v>
      </c>
      <c r="G16" s="8" t="n">
        <v>0.1012</v>
      </c>
      <c r="H16" s="8" t="n">
        <v>0.1012</v>
      </c>
      <c r="I16" s="9" t="inlineStr">
        <is>
          <t>Alquimia (unico)</t>
        </is>
      </c>
      <c r="J16" s="8" t="n">
        <v>0.3</v>
      </c>
      <c r="K16" s="10">
        <f>H16+J16</f>
        <v/>
      </c>
      <c r="L16" s="11" t="n">
        <v>0.75</v>
      </c>
      <c r="M16" s="10">
        <f>K16*(1+L16)</f>
        <v/>
      </c>
      <c r="N16" s="7" t="inlineStr">
        <is>
          <t>já existia</t>
        </is>
      </c>
      <c r="O16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7">
      <c r="A17" s="6" t="inlineStr">
        <is>
          <t>Alça Camiseta</t>
        </is>
      </c>
      <c r="B17" s="7" t="inlineStr">
        <is>
          <t>30x40</t>
        </is>
      </c>
      <c r="C17" s="7" t="inlineStr">
        <is>
          <t>0,04-0,06</t>
        </is>
      </c>
      <c r="D17" s="7" t="inlineStr">
        <is>
          <t>300–399</t>
        </is>
      </c>
      <c r="E17" s="7" t="n">
        <v>300</v>
      </c>
      <c r="F17" s="8" t="n">
        <v>0</v>
      </c>
      <c r="G17" s="8" t="n">
        <v>0.1012</v>
      </c>
      <c r="H17" s="8" t="n">
        <v>0.1012</v>
      </c>
      <c r="I17" s="9" t="inlineStr">
        <is>
          <t>Alquimia (unico)</t>
        </is>
      </c>
      <c r="J17" s="8" t="n">
        <v>0.3</v>
      </c>
      <c r="K17" s="10">
        <f>H17+J17</f>
        <v/>
      </c>
      <c r="L17" s="11" t="n">
        <v>0.7</v>
      </c>
      <c r="M17" s="10">
        <f>K17*(1+L17)</f>
        <v/>
      </c>
      <c r="N17" s="7" t="inlineStr">
        <is>
          <t>já existia</t>
        </is>
      </c>
      <c r="O17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8">
      <c r="A18" s="6" t="inlineStr">
        <is>
          <t>Alça Camiseta</t>
        </is>
      </c>
      <c r="B18" s="7" t="inlineStr">
        <is>
          <t>30x40</t>
        </is>
      </c>
      <c r="C18" s="7" t="inlineStr">
        <is>
          <t>0,04-0,06</t>
        </is>
      </c>
      <c r="D18" s="7" t="inlineStr">
        <is>
          <t>400–499</t>
        </is>
      </c>
      <c r="E18" s="7" t="n">
        <v>400</v>
      </c>
      <c r="F18" s="8" t="n">
        <v>0</v>
      </c>
      <c r="G18" s="8" t="n">
        <v>0.1012</v>
      </c>
      <c r="H18" s="8" t="n">
        <v>0.1012</v>
      </c>
      <c r="I18" s="9" t="inlineStr">
        <is>
          <t>Alquimia (unico)</t>
        </is>
      </c>
      <c r="J18" s="8" t="n">
        <v>0.3</v>
      </c>
      <c r="K18" s="10">
        <f>H18+J18</f>
        <v/>
      </c>
      <c r="L18" s="11" t="n">
        <v>0.65</v>
      </c>
      <c r="M18" s="10">
        <f>K18*(1+L18)</f>
        <v/>
      </c>
      <c r="N18" s="7" t="inlineStr">
        <is>
          <t>já existia</t>
        </is>
      </c>
      <c r="O18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19">
      <c r="A19" s="6" t="inlineStr">
        <is>
          <t>Alça Camiseta</t>
        </is>
      </c>
      <c r="B19" s="7" t="inlineStr">
        <is>
          <t>30x40</t>
        </is>
      </c>
      <c r="C19" s="7" t="inlineStr">
        <is>
          <t>0,04-0,06</t>
        </is>
      </c>
      <c r="D19" s="7" t="inlineStr">
        <is>
          <t>500–599</t>
        </is>
      </c>
      <c r="E19" s="7" t="n">
        <v>500</v>
      </c>
      <c r="F19" s="8" t="n">
        <v>0</v>
      </c>
      <c r="G19" s="8" t="n">
        <v>0.1012</v>
      </c>
      <c r="H19" s="8" t="n">
        <v>0.1012</v>
      </c>
      <c r="I19" s="9" t="inlineStr">
        <is>
          <t>Alquimia (unico)</t>
        </is>
      </c>
      <c r="J19" s="8" t="n">
        <v>0.3</v>
      </c>
      <c r="K19" s="10">
        <f>H19+J19</f>
        <v/>
      </c>
      <c r="L19" s="11" t="n">
        <v>0.6</v>
      </c>
      <c r="M19" s="10">
        <f>K19*(1+L19)</f>
        <v/>
      </c>
      <c r="N19" s="7" t="inlineStr">
        <is>
          <t>já existia</t>
        </is>
      </c>
      <c r="O19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0">
      <c r="A20" s="6" t="inlineStr">
        <is>
          <t>Alça Camiseta</t>
        </is>
      </c>
      <c r="B20" s="7" t="inlineStr">
        <is>
          <t>30x40</t>
        </is>
      </c>
      <c r="C20" s="7" t="inlineStr">
        <is>
          <t>0,04-0,06</t>
        </is>
      </c>
      <c r="D20" s="7" t="inlineStr">
        <is>
          <t>600–699</t>
        </is>
      </c>
      <c r="E20" s="7" t="n">
        <v>600</v>
      </c>
      <c r="F20" s="8" t="n">
        <v>0</v>
      </c>
      <c r="G20" s="8" t="n">
        <v>0.1012</v>
      </c>
      <c r="H20" s="8" t="n">
        <v>0.1012</v>
      </c>
      <c r="I20" s="9" t="inlineStr">
        <is>
          <t>Alquimia (unico)</t>
        </is>
      </c>
      <c r="J20" s="8" t="n">
        <v>0.3</v>
      </c>
      <c r="K20" s="10">
        <f>H20+J20</f>
        <v/>
      </c>
      <c r="L20" s="11" t="n">
        <v>0.57</v>
      </c>
      <c r="M20" s="10">
        <f>K20*(1+L20)</f>
        <v/>
      </c>
      <c r="N20" s="7" t="inlineStr">
        <is>
          <t>já existia</t>
        </is>
      </c>
      <c r="O20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1">
      <c r="A21" s="6" t="inlineStr">
        <is>
          <t>Alça Camiseta</t>
        </is>
      </c>
      <c r="B21" s="7" t="inlineStr">
        <is>
          <t>30x40</t>
        </is>
      </c>
      <c r="C21" s="7" t="inlineStr">
        <is>
          <t>0,04-0,06</t>
        </is>
      </c>
      <c r="D21" s="7" t="inlineStr">
        <is>
          <t>700–799</t>
        </is>
      </c>
      <c r="E21" s="7" t="n">
        <v>700</v>
      </c>
      <c r="F21" s="8" t="n">
        <v>0</v>
      </c>
      <c r="G21" s="8" t="n">
        <v>0.1012</v>
      </c>
      <c r="H21" s="8" t="n">
        <v>0.1012</v>
      </c>
      <c r="I21" s="9" t="inlineStr">
        <is>
          <t>Alquimia (unico)</t>
        </is>
      </c>
      <c r="J21" s="8" t="n">
        <v>0.3</v>
      </c>
      <c r="K21" s="10">
        <f>H21+J21</f>
        <v/>
      </c>
      <c r="L21" s="11" t="n">
        <v>0.54</v>
      </c>
      <c r="M21" s="10">
        <f>K21*(1+L21)</f>
        <v/>
      </c>
      <c r="N21" s="7" t="inlineStr">
        <is>
          <t>já existia</t>
        </is>
      </c>
      <c r="O21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2">
      <c r="A22" s="6" t="inlineStr">
        <is>
          <t>Alça Camiseta</t>
        </is>
      </c>
      <c r="B22" s="7" t="inlineStr">
        <is>
          <t>30x40</t>
        </is>
      </c>
      <c r="C22" s="7" t="inlineStr">
        <is>
          <t>0,04-0,06</t>
        </is>
      </c>
      <c r="D22" s="7" t="inlineStr">
        <is>
          <t>800–899</t>
        </is>
      </c>
      <c r="E22" s="7" t="n">
        <v>800</v>
      </c>
      <c r="F22" s="8" t="n">
        <v>0</v>
      </c>
      <c r="G22" s="8" t="n">
        <v>0.1012</v>
      </c>
      <c r="H22" s="8" t="n">
        <v>0.1012</v>
      </c>
      <c r="I22" s="9" t="inlineStr">
        <is>
          <t>Alquimia (unico)</t>
        </is>
      </c>
      <c r="J22" s="8" t="n">
        <v>0.3</v>
      </c>
      <c r="K22" s="10">
        <f>H22+J22</f>
        <v/>
      </c>
      <c r="L22" s="11" t="n">
        <v>0.51</v>
      </c>
      <c r="M22" s="10">
        <f>K22*(1+L22)</f>
        <v/>
      </c>
      <c r="N22" s="7" t="inlineStr">
        <is>
          <t>já existia</t>
        </is>
      </c>
      <c r="O22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3">
      <c r="A23" s="6" t="inlineStr">
        <is>
          <t>Alça Camiseta</t>
        </is>
      </c>
      <c r="B23" s="7" t="inlineStr">
        <is>
          <t>30x40</t>
        </is>
      </c>
      <c r="C23" s="7" t="inlineStr">
        <is>
          <t>0,04-0,06</t>
        </is>
      </c>
      <c r="D23" s="7" t="inlineStr">
        <is>
          <t>900–999</t>
        </is>
      </c>
      <c r="E23" s="7" t="n">
        <v>900</v>
      </c>
      <c r="F23" s="8" t="n">
        <v>0</v>
      </c>
      <c r="G23" s="8" t="n">
        <v>0.1012</v>
      </c>
      <c r="H23" s="8" t="n">
        <v>0.1012</v>
      </c>
      <c r="I23" s="9" t="inlineStr">
        <is>
          <t>Alquimia (unico)</t>
        </is>
      </c>
      <c r="J23" s="8" t="n">
        <v>0.3</v>
      </c>
      <c r="K23" s="10">
        <f>H23+J23</f>
        <v/>
      </c>
      <c r="L23" s="11" t="n">
        <v>0.48</v>
      </c>
      <c r="M23" s="10">
        <f>K23*(1+L23)</f>
        <v/>
      </c>
      <c r="N23" s="7" t="inlineStr">
        <is>
          <t>já existia</t>
        </is>
      </c>
      <c r="O23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4">
      <c r="A24" s="6" t="inlineStr">
        <is>
          <t>Alça Camiseta</t>
        </is>
      </c>
      <c r="B24" s="7" t="inlineStr">
        <is>
          <t>30x40</t>
        </is>
      </c>
      <c r="C24" s="7" t="inlineStr">
        <is>
          <t>0,04-0,06</t>
        </is>
      </c>
      <c r="D24" s="7" t="inlineStr">
        <is>
          <t>1000+</t>
        </is>
      </c>
      <c r="E24" s="7" t="n">
        <v>1000</v>
      </c>
      <c r="F24" s="8" t="n">
        <v>0</v>
      </c>
      <c r="G24" s="8" t="n">
        <v>0.1012</v>
      </c>
      <c r="H24" s="8" t="n">
        <v>0.1012</v>
      </c>
      <c r="I24" s="9" t="inlineStr">
        <is>
          <t>Alquimia (unico)</t>
        </is>
      </c>
      <c r="J24" s="8" t="n">
        <v>0.3</v>
      </c>
      <c r="K24" s="10">
        <f>H24+J24</f>
        <v/>
      </c>
      <c r="L24" s="11" t="n">
        <v>0.4</v>
      </c>
      <c r="M24" s="10">
        <f>K24*(1+L24)</f>
        <v/>
      </c>
      <c r="N24" s="7" t="inlineStr">
        <is>
          <t>já existia</t>
        </is>
      </c>
      <c r="O24" s="12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</row>
    <row r="25">
      <c r="A25" s="6" t="inlineStr">
        <is>
          <t>Alça Camiseta</t>
        </is>
      </c>
      <c r="B25" s="7" t="inlineStr">
        <is>
          <t>30x40</t>
        </is>
      </c>
      <c r="C25" s="7" t="inlineStr">
        <is>
          <t>0,05</t>
        </is>
      </c>
      <c r="D25" s="7" t="inlineStr">
        <is>
          <t>100–199</t>
        </is>
      </c>
      <c r="E25" s="7" t="n">
        <v>100</v>
      </c>
      <c r="F25" s="8" t="n">
        <v>0.171</v>
      </c>
      <c r="G25" s="8" t="n">
        <v>0</v>
      </c>
      <c r="H25" s="8" t="n">
        <v>0.171</v>
      </c>
      <c r="I25" s="9" t="inlineStr">
        <is>
          <t>Marfel (unico)</t>
        </is>
      </c>
      <c r="J25" s="8" t="n">
        <v>0.3</v>
      </c>
      <c r="K25" s="10">
        <f>H25+J25</f>
        <v/>
      </c>
      <c r="L25" s="11" t="n">
        <v>1</v>
      </c>
      <c r="M25" s="10">
        <f>K25*(1+L25)</f>
        <v/>
      </c>
      <c r="N25" s="7" t="inlineStr">
        <is>
          <t>já existia</t>
        </is>
      </c>
      <c r="O25" s="12" t="inlineStr">
        <is>
          <t>Sem custo cadastrado da Alquimia para esta gramatura — usado apenas o valor da Marfel.</t>
        </is>
      </c>
    </row>
    <row r="26">
      <c r="A26" s="6" t="inlineStr">
        <is>
          <t>Alça Camiseta</t>
        </is>
      </c>
      <c r="B26" s="7" t="inlineStr">
        <is>
          <t>30x40</t>
        </is>
      </c>
      <c r="C26" s="7" t="inlineStr">
        <is>
          <t>0,05</t>
        </is>
      </c>
      <c r="D26" s="7" t="inlineStr">
        <is>
          <t>200–299</t>
        </is>
      </c>
      <c r="E26" s="7" t="n">
        <v>200</v>
      </c>
      <c r="F26" s="8" t="n">
        <v>0.171</v>
      </c>
      <c r="G26" s="8" t="n">
        <v>0</v>
      </c>
      <c r="H26" s="8" t="n">
        <v>0.171</v>
      </c>
      <c r="I26" s="9" t="inlineStr">
        <is>
          <t>Marfel (unico)</t>
        </is>
      </c>
      <c r="J26" s="8" t="n">
        <v>0.3</v>
      </c>
      <c r="K26" s="10">
        <f>H26+J26</f>
        <v/>
      </c>
      <c r="L26" s="11" t="n">
        <v>0.75</v>
      </c>
      <c r="M26" s="10">
        <f>K26*(1+L26)</f>
        <v/>
      </c>
      <c r="N26" s="7" t="inlineStr">
        <is>
          <t>já existia</t>
        </is>
      </c>
      <c r="O26" s="12" t="inlineStr">
        <is>
          <t>Sem custo cadastrado da Alquimia para esta gramatura — usado apenas o valor da Marfel.</t>
        </is>
      </c>
    </row>
    <row r="27">
      <c r="A27" s="6" t="inlineStr">
        <is>
          <t>Alça Camiseta</t>
        </is>
      </c>
      <c r="B27" s="7" t="inlineStr">
        <is>
          <t>30x40</t>
        </is>
      </c>
      <c r="C27" s="7" t="inlineStr">
        <is>
          <t>0,05</t>
        </is>
      </c>
      <c r="D27" s="7" t="inlineStr">
        <is>
          <t>300–399</t>
        </is>
      </c>
      <c r="E27" s="7" t="n">
        <v>300</v>
      </c>
      <c r="F27" s="8" t="n">
        <v>0.171</v>
      </c>
      <c r="G27" s="8" t="n">
        <v>0</v>
      </c>
      <c r="H27" s="8" t="n">
        <v>0.171</v>
      </c>
      <c r="I27" s="9" t="inlineStr">
        <is>
          <t>Marfel (unico)</t>
        </is>
      </c>
      <c r="J27" s="8" t="n">
        <v>0.3</v>
      </c>
      <c r="K27" s="10">
        <f>H27+J27</f>
        <v/>
      </c>
      <c r="L27" s="11" t="n">
        <v>0.7</v>
      </c>
      <c r="M27" s="10">
        <f>K27*(1+L27)</f>
        <v/>
      </c>
      <c r="N27" s="7" t="inlineStr">
        <is>
          <t>já existia</t>
        </is>
      </c>
      <c r="O27" s="12" t="inlineStr">
        <is>
          <t>Sem custo cadastrado da Alquimia para esta gramatura — usado apenas o valor da Marfel.</t>
        </is>
      </c>
    </row>
    <row r="28">
      <c r="A28" s="6" t="inlineStr">
        <is>
          <t>Alça Camiseta</t>
        </is>
      </c>
      <c r="B28" s="7" t="inlineStr">
        <is>
          <t>30x40</t>
        </is>
      </c>
      <c r="C28" s="7" t="inlineStr">
        <is>
          <t>0,05</t>
        </is>
      </c>
      <c r="D28" s="7" t="inlineStr">
        <is>
          <t>400–499</t>
        </is>
      </c>
      <c r="E28" s="7" t="n">
        <v>400</v>
      </c>
      <c r="F28" s="8" t="n">
        <v>0.171</v>
      </c>
      <c r="G28" s="8" t="n">
        <v>0</v>
      </c>
      <c r="H28" s="8" t="n">
        <v>0.171</v>
      </c>
      <c r="I28" s="9" t="inlineStr">
        <is>
          <t>Marfel (unico)</t>
        </is>
      </c>
      <c r="J28" s="8" t="n">
        <v>0.3</v>
      </c>
      <c r="K28" s="10">
        <f>H28+J28</f>
        <v/>
      </c>
      <c r="L28" s="11" t="n">
        <v>0.65</v>
      </c>
      <c r="M28" s="10">
        <f>K28*(1+L28)</f>
        <v/>
      </c>
      <c r="N28" s="7" t="inlineStr">
        <is>
          <t>já existia</t>
        </is>
      </c>
      <c r="O28" s="12" t="inlineStr">
        <is>
          <t>Sem custo cadastrado da Alquimia para esta gramatura — usado apenas o valor da Marfel.</t>
        </is>
      </c>
    </row>
    <row r="29">
      <c r="A29" s="6" t="inlineStr">
        <is>
          <t>Alça Camiseta</t>
        </is>
      </c>
      <c r="B29" s="7" t="inlineStr">
        <is>
          <t>30x40</t>
        </is>
      </c>
      <c r="C29" s="7" t="inlineStr">
        <is>
          <t>0,05</t>
        </is>
      </c>
      <c r="D29" s="7" t="inlineStr">
        <is>
          <t>500–599</t>
        </is>
      </c>
      <c r="E29" s="7" t="n">
        <v>500</v>
      </c>
      <c r="F29" s="8" t="n">
        <v>0.171</v>
      </c>
      <c r="G29" s="8" t="n">
        <v>0</v>
      </c>
      <c r="H29" s="8" t="n">
        <v>0.171</v>
      </c>
      <c r="I29" s="9" t="inlineStr">
        <is>
          <t>Marfel (unico)</t>
        </is>
      </c>
      <c r="J29" s="8" t="n">
        <v>0.3</v>
      </c>
      <c r="K29" s="10">
        <f>H29+J29</f>
        <v/>
      </c>
      <c r="L29" s="11" t="n">
        <v>0.6</v>
      </c>
      <c r="M29" s="10">
        <f>K29*(1+L29)</f>
        <v/>
      </c>
      <c r="N29" s="7" t="inlineStr">
        <is>
          <t>já existia</t>
        </is>
      </c>
      <c r="O29" s="12" t="inlineStr">
        <is>
          <t>Sem custo cadastrado da Alquimia para esta gramatura — usado apenas o valor da Marfel.</t>
        </is>
      </c>
    </row>
    <row r="30">
      <c r="A30" s="6" t="inlineStr">
        <is>
          <t>Alça Camiseta</t>
        </is>
      </c>
      <c r="B30" s="7" t="inlineStr">
        <is>
          <t>30x40</t>
        </is>
      </c>
      <c r="C30" s="7" t="inlineStr">
        <is>
          <t>0,05</t>
        </is>
      </c>
      <c r="D30" s="7" t="inlineStr">
        <is>
          <t>600–699</t>
        </is>
      </c>
      <c r="E30" s="7" t="n">
        <v>600</v>
      </c>
      <c r="F30" s="8" t="n">
        <v>0.171</v>
      </c>
      <c r="G30" s="8" t="n">
        <v>0</v>
      </c>
      <c r="H30" s="8" t="n">
        <v>0.171</v>
      </c>
      <c r="I30" s="9" t="inlineStr">
        <is>
          <t>Marfel (unico)</t>
        </is>
      </c>
      <c r="J30" s="8" t="n">
        <v>0.3</v>
      </c>
      <c r="K30" s="10">
        <f>H30+J30</f>
        <v/>
      </c>
      <c r="L30" s="11" t="n">
        <v>0.57</v>
      </c>
      <c r="M30" s="10">
        <f>K30*(1+L30)</f>
        <v/>
      </c>
      <c r="N30" s="7" t="inlineStr">
        <is>
          <t>já existia</t>
        </is>
      </c>
      <c r="O30" s="12" t="inlineStr">
        <is>
          <t>Sem custo cadastrado da Alquimia para esta gramatura — usado apenas o valor da Marfel.</t>
        </is>
      </c>
    </row>
    <row r="31">
      <c r="A31" s="6" t="inlineStr">
        <is>
          <t>Alça Camiseta</t>
        </is>
      </c>
      <c r="B31" s="7" t="inlineStr">
        <is>
          <t>30x40</t>
        </is>
      </c>
      <c r="C31" s="7" t="inlineStr">
        <is>
          <t>0,05</t>
        </is>
      </c>
      <c r="D31" s="7" t="inlineStr">
        <is>
          <t>700–799</t>
        </is>
      </c>
      <c r="E31" s="7" t="n">
        <v>700</v>
      </c>
      <c r="F31" s="8" t="n">
        <v>0.171</v>
      </c>
      <c r="G31" s="8" t="n">
        <v>0</v>
      </c>
      <c r="H31" s="8" t="n">
        <v>0.171</v>
      </c>
      <c r="I31" s="9" t="inlineStr">
        <is>
          <t>Marfel (unico)</t>
        </is>
      </c>
      <c r="J31" s="8" t="n">
        <v>0.3</v>
      </c>
      <c r="K31" s="10">
        <f>H31+J31</f>
        <v/>
      </c>
      <c r="L31" s="11" t="n">
        <v>0.54</v>
      </c>
      <c r="M31" s="10">
        <f>K31*(1+L31)</f>
        <v/>
      </c>
      <c r="N31" s="7" t="inlineStr">
        <is>
          <t>já existia</t>
        </is>
      </c>
      <c r="O31" s="12" t="inlineStr">
        <is>
          <t>Sem custo cadastrado da Alquimia para esta gramatura — usado apenas o valor da Marfel.</t>
        </is>
      </c>
    </row>
    <row r="32">
      <c r="A32" s="6" t="inlineStr">
        <is>
          <t>Alça Camiseta</t>
        </is>
      </c>
      <c r="B32" s="7" t="inlineStr">
        <is>
          <t>30x40</t>
        </is>
      </c>
      <c r="C32" s="7" t="inlineStr">
        <is>
          <t>0,05</t>
        </is>
      </c>
      <c r="D32" s="7" t="inlineStr">
        <is>
          <t>800–899</t>
        </is>
      </c>
      <c r="E32" s="7" t="n">
        <v>800</v>
      </c>
      <c r="F32" s="8" t="n">
        <v>0.171</v>
      </c>
      <c r="G32" s="8" t="n">
        <v>0</v>
      </c>
      <c r="H32" s="8" t="n">
        <v>0.171</v>
      </c>
      <c r="I32" s="9" t="inlineStr">
        <is>
          <t>Marfel (unico)</t>
        </is>
      </c>
      <c r="J32" s="8" t="n">
        <v>0.3</v>
      </c>
      <c r="K32" s="10">
        <f>H32+J32</f>
        <v/>
      </c>
      <c r="L32" s="11" t="n">
        <v>0.51</v>
      </c>
      <c r="M32" s="10">
        <f>K32*(1+L32)</f>
        <v/>
      </c>
      <c r="N32" s="7" t="inlineStr">
        <is>
          <t>já existia</t>
        </is>
      </c>
      <c r="O32" s="12" t="inlineStr">
        <is>
          <t>Sem custo cadastrado da Alquimia para esta gramatura — usado apenas o valor da Marfel.</t>
        </is>
      </c>
    </row>
    <row r="33">
      <c r="A33" s="6" t="inlineStr">
        <is>
          <t>Alça Camiseta</t>
        </is>
      </c>
      <c r="B33" s="7" t="inlineStr">
        <is>
          <t>30x40</t>
        </is>
      </c>
      <c r="C33" s="7" t="inlineStr">
        <is>
          <t>0,05</t>
        </is>
      </c>
      <c r="D33" s="7" t="inlineStr">
        <is>
          <t>900–999</t>
        </is>
      </c>
      <c r="E33" s="7" t="n">
        <v>900</v>
      </c>
      <c r="F33" s="8" t="n">
        <v>0.171</v>
      </c>
      <c r="G33" s="8" t="n">
        <v>0</v>
      </c>
      <c r="H33" s="8" t="n">
        <v>0.171</v>
      </c>
      <c r="I33" s="9" t="inlineStr">
        <is>
          <t>Marfel (unico)</t>
        </is>
      </c>
      <c r="J33" s="8" t="n">
        <v>0.3</v>
      </c>
      <c r="K33" s="10">
        <f>H33+J33</f>
        <v/>
      </c>
      <c r="L33" s="11" t="n">
        <v>0.48</v>
      </c>
      <c r="M33" s="10">
        <f>K33*(1+L33)</f>
        <v/>
      </c>
      <c r="N33" s="7" t="inlineStr">
        <is>
          <t>já existia</t>
        </is>
      </c>
      <c r="O33" s="12" t="inlineStr">
        <is>
          <t>Sem custo cadastrado da Alquimia para esta gramatura — usado apenas o valor da Marfel.</t>
        </is>
      </c>
    </row>
    <row r="34">
      <c r="A34" s="6" t="inlineStr">
        <is>
          <t>Alça Camiseta</t>
        </is>
      </c>
      <c r="B34" s="7" t="inlineStr">
        <is>
          <t>30x40</t>
        </is>
      </c>
      <c r="C34" s="7" t="inlineStr">
        <is>
          <t>0,05</t>
        </is>
      </c>
      <c r="D34" s="7" t="inlineStr">
        <is>
          <t>1000+</t>
        </is>
      </c>
      <c r="E34" s="7" t="n">
        <v>1000</v>
      </c>
      <c r="F34" s="8" t="n">
        <v>0.171</v>
      </c>
      <c r="G34" s="8" t="n">
        <v>0</v>
      </c>
      <c r="H34" s="8" t="n">
        <v>0.171</v>
      </c>
      <c r="I34" s="9" t="inlineStr">
        <is>
          <t>Marfel (unico)</t>
        </is>
      </c>
      <c r="J34" s="8" t="n">
        <v>0.3</v>
      </c>
      <c r="K34" s="10">
        <f>H34+J34</f>
        <v/>
      </c>
      <c r="L34" s="11" t="n">
        <v>0.4</v>
      </c>
      <c r="M34" s="10">
        <f>K34*(1+L34)</f>
        <v/>
      </c>
      <c r="N34" s="7" t="inlineStr">
        <is>
          <t>já existia</t>
        </is>
      </c>
      <c r="O34" s="12" t="inlineStr">
        <is>
          <t>Sem custo cadastrado da Alquimia para esta gramatura — usado apenas o valor da Marfel.</t>
        </is>
      </c>
    </row>
    <row r="35">
      <c r="A35" s="6" t="inlineStr">
        <is>
          <t>Alça Camiseta</t>
        </is>
      </c>
      <c r="B35" s="7" t="inlineStr">
        <is>
          <t>30x40</t>
        </is>
      </c>
      <c r="C35" s="7" t="inlineStr">
        <is>
          <t>0,06</t>
        </is>
      </c>
      <c r="D35" s="7" t="inlineStr">
        <is>
          <t>100–199</t>
        </is>
      </c>
      <c r="E35" s="7" t="n">
        <v>100</v>
      </c>
      <c r="F35" s="8" t="n">
        <v>0</v>
      </c>
      <c r="G35" s="8" t="n">
        <v>0.1643</v>
      </c>
      <c r="H35" s="8" t="n">
        <v>0.1643</v>
      </c>
      <c r="I35" s="9" t="inlineStr">
        <is>
          <t>Alquimia (unico)</t>
        </is>
      </c>
      <c r="J35" s="8" t="n">
        <v>0.3</v>
      </c>
      <c r="K35" s="10">
        <f>H35+J35</f>
        <v/>
      </c>
      <c r="L35" s="11" t="n">
        <v>1</v>
      </c>
      <c r="M35" s="10">
        <f>K35*(1+L35)</f>
        <v/>
      </c>
      <c r="N35" s="7" t="inlineStr">
        <is>
          <t>já existia</t>
        </is>
      </c>
      <c r="O35" s="12" t="inlineStr">
        <is>
          <t>Sem custo cadastrado da Marfel para esta gramatura — usado apenas o valor da Alquimia.</t>
        </is>
      </c>
    </row>
    <row r="36">
      <c r="A36" s="6" t="inlineStr">
        <is>
          <t>Alça Camiseta</t>
        </is>
      </c>
      <c r="B36" s="7" t="inlineStr">
        <is>
          <t>30x40</t>
        </is>
      </c>
      <c r="C36" s="7" t="inlineStr">
        <is>
          <t>0,06</t>
        </is>
      </c>
      <c r="D36" s="7" t="inlineStr">
        <is>
          <t>200–299</t>
        </is>
      </c>
      <c r="E36" s="7" t="n">
        <v>200</v>
      </c>
      <c r="F36" s="8" t="n">
        <v>0</v>
      </c>
      <c r="G36" s="8" t="n">
        <v>0.1643</v>
      </c>
      <c r="H36" s="8" t="n">
        <v>0.1643</v>
      </c>
      <c r="I36" s="9" t="inlineStr">
        <is>
          <t>Alquimia (unico)</t>
        </is>
      </c>
      <c r="J36" s="8" t="n">
        <v>0.3</v>
      </c>
      <c r="K36" s="10">
        <f>H36+J36</f>
        <v/>
      </c>
      <c r="L36" s="11" t="n">
        <v>0.75</v>
      </c>
      <c r="M36" s="10">
        <f>K36*(1+L36)</f>
        <v/>
      </c>
      <c r="N36" s="7" t="inlineStr">
        <is>
          <t>já existia</t>
        </is>
      </c>
      <c r="O36" s="12" t="inlineStr">
        <is>
          <t>Sem custo cadastrado da Marfel para esta gramatura — usado apenas o valor da Alquimia.</t>
        </is>
      </c>
    </row>
    <row r="37">
      <c r="A37" s="6" t="inlineStr">
        <is>
          <t>Alça Camiseta</t>
        </is>
      </c>
      <c r="B37" s="7" t="inlineStr">
        <is>
          <t>30x40</t>
        </is>
      </c>
      <c r="C37" s="7" t="inlineStr">
        <is>
          <t>0,06</t>
        </is>
      </c>
      <c r="D37" s="7" t="inlineStr">
        <is>
          <t>300–399</t>
        </is>
      </c>
      <c r="E37" s="7" t="n">
        <v>300</v>
      </c>
      <c r="F37" s="8" t="n">
        <v>0</v>
      </c>
      <c r="G37" s="8" t="n">
        <v>0.1643</v>
      </c>
      <c r="H37" s="8" t="n">
        <v>0.1643</v>
      </c>
      <c r="I37" s="9" t="inlineStr">
        <is>
          <t>Alquimia (unico)</t>
        </is>
      </c>
      <c r="J37" s="8" t="n">
        <v>0.3</v>
      </c>
      <c r="K37" s="10">
        <f>H37+J37</f>
        <v/>
      </c>
      <c r="L37" s="11" t="n">
        <v>0.7</v>
      </c>
      <c r="M37" s="10">
        <f>K37*(1+L37)</f>
        <v/>
      </c>
      <c r="N37" s="7" t="inlineStr">
        <is>
          <t>já existia</t>
        </is>
      </c>
      <c r="O37" s="12" t="inlineStr">
        <is>
          <t>Sem custo cadastrado da Marfel para esta gramatura — usado apenas o valor da Alquimia.</t>
        </is>
      </c>
    </row>
    <row r="38">
      <c r="A38" s="6" t="inlineStr">
        <is>
          <t>Alça Camiseta</t>
        </is>
      </c>
      <c r="B38" s="7" t="inlineStr">
        <is>
          <t>30x40</t>
        </is>
      </c>
      <c r="C38" s="7" t="inlineStr">
        <is>
          <t>0,06</t>
        </is>
      </c>
      <c r="D38" s="7" t="inlineStr">
        <is>
          <t>400–499</t>
        </is>
      </c>
      <c r="E38" s="7" t="n">
        <v>400</v>
      </c>
      <c r="F38" s="8" t="n">
        <v>0</v>
      </c>
      <c r="G38" s="8" t="n">
        <v>0.1643</v>
      </c>
      <c r="H38" s="8" t="n">
        <v>0.1643</v>
      </c>
      <c r="I38" s="9" t="inlineStr">
        <is>
          <t>Alquimia (unico)</t>
        </is>
      </c>
      <c r="J38" s="8" t="n">
        <v>0.3</v>
      </c>
      <c r="K38" s="10">
        <f>H38+J38</f>
        <v/>
      </c>
      <c r="L38" s="11" t="n">
        <v>0.65</v>
      </c>
      <c r="M38" s="10">
        <f>K38*(1+L38)</f>
        <v/>
      </c>
      <c r="N38" s="7" t="inlineStr">
        <is>
          <t>já existia</t>
        </is>
      </c>
      <c r="O38" s="12" t="inlineStr">
        <is>
          <t>Sem custo cadastrado da Marfel para esta gramatura — usado apenas o valor da Alquimia.</t>
        </is>
      </c>
    </row>
    <row r="39">
      <c r="A39" s="6" t="inlineStr">
        <is>
          <t>Alça Camiseta</t>
        </is>
      </c>
      <c r="B39" s="7" t="inlineStr">
        <is>
          <t>30x40</t>
        </is>
      </c>
      <c r="C39" s="7" t="inlineStr">
        <is>
          <t>0,06</t>
        </is>
      </c>
      <c r="D39" s="7" t="inlineStr">
        <is>
          <t>500–599</t>
        </is>
      </c>
      <c r="E39" s="7" t="n">
        <v>500</v>
      </c>
      <c r="F39" s="8" t="n">
        <v>0</v>
      </c>
      <c r="G39" s="8" t="n">
        <v>0.1643</v>
      </c>
      <c r="H39" s="8" t="n">
        <v>0.1643</v>
      </c>
      <c r="I39" s="9" t="inlineStr">
        <is>
          <t>Alquimia (unico)</t>
        </is>
      </c>
      <c r="J39" s="8" t="n">
        <v>0.3</v>
      </c>
      <c r="K39" s="10">
        <f>H39+J39</f>
        <v/>
      </c>
      <c r="L39" s="11" t="n">
        <v>0.6</v>
      </c>
      <c r="M39" s="10">
        <f>K39*(1+L39)</f>
        <v/>
      </c>
      <c r="N39" s="7" t="inlineStr">
        <is>
          <t>já existia</t>
        </is>
      </c>
      <c r="O39" s="12" t="inlineStr">
        <is>
          <t>Sem custo cadastrado da Marfel para esta gramatura — usado apenas o valor da Alquimia.</t>
        </is>
      </c>
    </row>
    <row r="40">
      <c r="A40" s="6" t="inlineStr">
        <is>
          <t>Alça Camiseta</t>
        </is>
      </c>
      <c r="B40" s="7" t="inlineStr">
        <is>
          <t>30x40</t>
        </is>
      </c>
      <c r="C40" s="7" t="inlineStr">
        <is>
          <t>0,06</t>
        </is>
      </c>
      <c r="D40" s="7" t="inlineStr">
        <is>
          <t>600–699</t>
        </is>
      </c>
      <c r="E40" s="7" t="n">
        <v>600</v>
      </c>
      <c r="F40" s="8" t="n">
        <v>0</v>
      </c>
      <c r="G40" s="8" t="n">
        <v>0.1643</v>
      </c>
      <c r="H40" s="8" t="n">
        <v>0.1643</v>
      </c>
      <c r="I40" s="9" t="inlineStr">
        <is>
          <t>Alquimia (unico)</t>
        </is>
      </c>
      <c r="J40" s="8" t="n">
        <v>0.3</v>
      </c>
      <c r="K40" s="10">
        <f>H40+J40</f>
        <v/>
      </c>
      <c r="L40" s="11" t="n">
        <v>0.57</v>
      </c>
      <c r="M40" s="10">
        <f>K40*(1+L40)</f>
        <v/>
      </c>
      <c r="N40" s="7" t="inlineStr">
        <is>
          <t>já existia</t>
        </is>
      </c>
      <c r="O40" s="12" t="inlineStr">
        <is>
          <t>Sem custo cadastrado da Marfel para esta gramatura — usado apenas o valor da Alquimia.</t>
        </is>
      </c>
    </row>
    <row r="41">
      <c r="A41" s="6" t="inlineStr">
        <is>
          <t>Alça Camiseta</t>
        </is>
      </c>
      <c r="B41" s="7" t="inlineStr">
        <is>
          <t>30x40</t>
        </is>
      </c>
      <c r="C41" s="7" t="inlineStr">
        <is>
          <t>0,06</t>
        </is>
      </c>
      <c r="D41" s="7" t="inlineStr">
        <is>
          <t>700–799</t>
        </is>
      </c>
      <c r="E41" s="7" t="n">
        <v>700</v>
      </c>
      <c r="F41" s="8" t="n">
        <v>0</v>
      </c>
      <c r="G41" s="8" t="n">
        <v>0.1643</v>
      </c>
      <c r="H41" s="8" t="n">
        <v>0.1643</v>
      </c>
      <c r="I41" s="9" t="inlineStr">
        <is>
          <t>Alquimia (unico)</t>
        </is>
      </c>
      <c r="J41" s="8" t="n">
        <v>0.3</v>
      </c>
      <c r="K41" s="10">
        <f>H41+J41</f>
        <v/>
      </c>
      <c r="L41" s="11" t="n">
        <v>0.54</v>
      </c>
      <c r="M41" s="10">
        <f>K41*(1+L41)</f>
        <v/>
      </c>
      <c r="N41" s="7" t="inlineStr">
        <is>
          <t>já existia</t>
        </is>
      </c>
      <c r="O41" s="12" t="inlineStr">
        <is>
          <t>Sem custo cadastrado da Marfel para esta gramatura — usado apenas o valor da Alquimia.</t>
        </is>
      </c>
    </row>
    <row r="42">
      <c r="A42" s="6" t="inlineStr">
        <is>
          <t>Alça Camiseta</t>
        </is>
      </c>
      <c r="B42" s="7" t="inlineStr">
        <is>
          <t>30x40</t>
        </is>
      </c>
      <c r="C42" s="7" t="inlineStr">
        <is>
          <t>0,06</t>
        </is>
      </c>
      <c r="D42" s="7" t="inlineStr">
        <is>
          <t>800–899</t>
        </is>
      </c>
      <c r="E42" s="7" t="n">
        <v>800</v>
      </c>
      <c r="F42" s="8" t="n">
        <v>0</v>
      </c>
      <c r="G42" s="8" t="n">
        <v>0.1643</v>
      </c>
      <c r="H42" s="8" t="n">
        <v>0.1643</v>
      </c>
      <c r="I42" s="9" t="inlineStr">
        <is>
          <t>Alquimia (unico)</t>
        </is>
      </c>
      <c r="J42" s="8" t="n">
        <v>0.3</v>
      </c>
      <c r="K42" s="10">
        <f>H42+J42</f>
        <v/>
      </c>
      <c r="L42" s="11" t="n">
        <v>0.51</v>
      </c>
      <c r="M42" s="10">
        <f>K42*(1+L42)</f>
        <v/>
      </c>
      <c r="N42" s="7" t="inlineStr">
        <is>
          <t>já existia</t>
        </is>
      </c>
      <c r="O42" s="12" t="inlineStr">
        <is>
          <t>Sem custo cadastrado da Marfel para esta gramatura — usado apenas o valor da Alquimia.</t>
        </is>
      </c>
    </row>
    <row r="43">
      <c r="A43" s="6" t="inlineStr">
        <is>
          <t>Alça Camiseta</t>
        </is>
      </c>
      <c r="B43" s="7" t="inlineStr">
        <is>
          <t>30x40</t>
        </is>
      </c>
      <c r="C43" s="7" t="inlineStr">
        <is>
          <t>0,06</t>
        </is>
      </c>
      <c r="D43" s="7" t="inlineStr">
        <is>
          <t>900–999</t>
        </is>
      </c>
      <c r="E43" s="7" t="n">
        <v>900</v>
      </c>
      <c r="F43" s="8" t="n">
        <v>0</v>
      </c>
      <c r="G43" s="8" t="n">
        <v>0.1643</v>
      </c>
      <c r="H43" s="8" t="n">
        <v>0.1643</v>
      </c>
      <c r="I43" s="9" t="inlineStr">
        <is>
          <t>Alquimia (unico)</t>
        </is>
      </c>
      <c r="J43" s="8" t="n">
        <v>0.3</v>
      </c>
      <c r="K43" s="10">
        <f>H43+J43</f>
        <v/>
      </c>
      <c r="L43" s="11" t="n">
        <v>0.48</v>
      </c>
      <c r="M43" s="10">
        <f>K43*(1+L43)</f>
        <v/>
      </c>
      <c r="N43" s="7" t="inlineStr">
        <is>
          <t>já existia</t>
        </is>
      </c>
      <c r="O43" s="12" t="inlineStr">
        <is>
          <t>Sem custo cadastrado da Marfel para esta gramatura — usado apenas o valor da Alquimia.</t>
        </is>
      </c>
    </row>
    <row r="44">
      <c r="A44" s="6" t="inlineStr">
        <is>
          <t>Alça Camiseta</t>
        </is>
      </c>
      <c r="B44" s="7" t="inlineStr">
        <is>
          <t>30x40</t>
        </is>
      </c>
      <c r="C44" s="7" t="inlineStr">
        <is>
          <t>0,06</t>
        </is>
      </c>
      <c r="D44" s="7" t="inlineStr">
        <is>
          <t>1000+</t>
        </is>
      </c>
      <c r="E44" s="7" t="n">
        <v>1000</v>
      </c>
      <c r="F44" s="8" t="n">
        <v>0</v>
      </c>
      <c r="G44" s="8" t="n">
        <v>0.1643</v>
      </c>
      <c r="H44" s="8" t="n">
        <v>0.1643</v>
      </c>
      <c r="I44" s="9" t="inlineStr">
        <is>
          <t>Alquimia (unico)</t>
        </is>
      </c>
      <c r="J44" s="8" t="n">
        <v>0.3</v>
      </c>
      <c r="K44" s="10">
        <f>H44+J44</f>
        <v/>
      </c>
      <c r="L44" s="11" t="n">
        <v>0.4</v>
      </c>
      <c r="M44" s="10">
        <f>K44*(1+L44)</f>
        <v/>
      </c>
      <c r="N44" s="7" t="inlineStr">
        <is>
          <t>já existia</t>
        </is>
      </c>
      <c r="O44" s="12" t="inlineStr">
        <is>
          <t>Sem custo cadastrado da Marfel para esta gramatura — usado apenas o valor da Alquimia.</t>
        </is>
      </c>
    </row>
    <row r="45">
      <c r="A45" s="6" t="inlineStr">
        <is>
          <t>Alça Camiseta</t>
        </is>
      </c>
      <c r="B45" s="7" t="inlineStr">
        <is>
          <t>35x45</t>
        </is>
      </c>
      <c r="C45" s="7" t="inlineStr">
        <is>
          <t>0,05</t>
        </is>
      </c>
      <c r="D45" s="7" t="inlineStr">
        <is>
          <t>100–199</t>
        </is>
      </c>
      <c r="E45" s="7" t="n">
        <v>100</v>
      </c>
      <c r="F45" s="8" t="n">
        <v>0.2394</v>
      </c>
      <c r="G45" s="8" t="n">
        <v>0</v>
      </c>
      <c r="H45" s="8" t="n">
        <v>0.2394</v>
      </c>
      <c r="I45" s="9" t="inlineStr">
        <is>
          <t>Marfel (unico)</t>
        </is>
      </c>
      <c r="J45" s="8" t="n">
        <v>0.3</v>
      </c>
      <c r="K45" s="10">
        <f>H45+J45</f>
        <v/>
      </c>
      <c r="L45" s="11" t="n">
        <v>1</v>
      </c>
      <c r="M45" s="10">
        <f>K45*(1+L45)</f>
        <v/>
      </c>
      <c r="N45" s="7" t="inlineStr">
        <is>
          <t>NOVO (Tabela Marfel V01JUN26)</t>
        </is>
      </c>
      <c r="O45" s="12" t="inlineStr">
        <is>
          <t>Sem custo cadastrado da Alquimia para esta gramatura — usado apenas o valor da Marfel.</t>
        </is>
      </c>
    </row>
    <row r="46">
      <c r="A46" s="6" t="inlineStr">
        <is>
          <t>Alça Camiseta</t>
        </is>
      </c>
      <c r="B46" s="7" t="inlineStr">
        <is>
          <t>35x45</t>
        </is>
      </c>
      <c r="C46" s="7" t="inlineStr">
        <is>
          <t>0,05</t>
        </is>
      </c>
      <c r="D46" s="7" t="inlineStr">
        <is>
          <t>200–299</t>
        </is>
      </c>
      <c r="E46" s="7" t="n">
        <v>200</v>
      </c>
      <c r="F46" s="8" t="n">
        <v>0.2394</v>
      </c>
      <c r="G46" s="8" t="n">
        <v>0</v>
      </c>
      <c r="H46" s="8" t="n">
        <v>0.2394</v>
      </c>
      <c r="I46" s="9" t="inlineStr">
        <is>
          <t>Marfel (unico)</t>
        </is>
      </c>
      <c r="J46" s="8" t="n">
        <v>0.3</v>
      </c>
      <c r="K46" s="10">
        <f>H46+J46</f>
        <v/>
      </c>
      <c r="L46" s="11" t="n">
        <v>0.75</v>
      </c>
      <c r="M46" s="10">
        <f>K46*(1+L46)</f>
        <v/>
      </c>
      <c r="N46" s="7" t="inlineStr">
        <is>
          <t>NOVO (Tabela Marfel V01JUN26)</t>
        </is>
      </c>
      <c r="O46" s="12" t="inlineStr">
        <is>
          <t>Sem custo cadastrado da Alquimia para esta gramatura — usado apenas o valor da Marfel.</t>
        </is>
      </c>
    </row>
    <row r="47">
      <c r="A47" s="6" t="inlineStr">
        <is>
          <t>Alça Camiseta</t>
        </is>
      </c>
      <c r="B47" s="7" t="inlineStr">
        <is>
          <t>35x45</t>
        </is>
      </c>
      <c r="C47" s="7" t="inlineStr">
        <is>
          <t>0,05</t>
        </is>
      </c>
      <c r="D47" s="7" t="inlineStr">
        <is>
          <t>300–399</t>
        </is>
      </c>
      <c r="E47" s="7" t="n">
        <v>300</v>
      </c>
      <c r="F47" s="8" t="n">
        <v>0.2394</v>
      </c>
      <c r="G47" s="8" t="n">
        <v>0</v>
      </c>
      <c r="H47" s="8" t="n">
        <v>0.2394</v>
      </c>
      <c r="I47" s="9" t="inlineStr">
        <is>
          <t>Marfel (unico)</t>
        </is>
      </c>
      <c r="J47" s="8" t="n">
        <v>0.3</v>
      </c>
      <c r="K47" s="10">
        <f>H47+J47</f>
        <v/>
      </c>
      <c r="L47" s="11" t="n">
        <v>0.7</v>
      </c>
      <c r="M47" s="10">
        <f>K47*(1+L47)</f>
        <v/>
      </c>
      <c r="N47" s="7" t="inlineStr">
        <is>
          <t>NOVO (Tabela Marfel V01JUN26)</t>
        </is>
      </c>
      <c r="O47" s="12" t="inlineStr">
        <is>
          <t>Sem custo cadastrado da Alquimia para esta gramatura — usado apenas o valor da Marfel.</t>
        </is>
      </c>
    </row>
    <row r="48">
      <c r="A48" s="6" t="inlineStr">
        <is>
          <t>Alça Camiseta</t>
        </is>
      </c>
      <c r="B48" s="7" t="inlineStr">
        <is>
          <t>35x45</t>
        </is>
      </c>
      <c r="C48" s="7" t="inlineStr">
        <is>
          <t>0,05</t>
        </is>
      </c>
      <c r="D48" s="7" t="inlineStr">
        <is>
          <t>400–499</t>
        </is>
      </c>
      <c r="E48" s="7" t="n">
        <v>400</v>
      </c>
      <c r="F48" s="8" t="n">
        <v>0.2394</v>
      </c>
      <c r="G48" s="8" t="n">
        <v>0</v>
      </c>
      <c r="H48" s="8" t="n">
        <v>0.2394</v>
      </c>
      <c r="I48" s="9" t="inlineStr">
        <is>
          <t>Marfel (unico)</t>
        </is>
      </c>
      <c r="J48" s="8" t="n">
        <v>0.3</v>
      </c>
      <c r="K48" s="10">
        <f>H48+J48</f>
        <v/>
      </c>
      <c r="L48" s="11" t="n">
        <v>0.65</v>
      </c>
      <c r="M48" s="10">
        <f>K48*(1+L48)</f>
        <v/>
      </c>
      <c r="N48" s="7" t="inlineStr">
        <is>
          <t>NOVO (Tabela Marfel V01JUN26)</t>
        </is>
      </c>
      <c r="O48" s="12" t="inlineStr">
        <is>
          <t>Sem custo cadastrado da Alquimia para esta gramatura — usado apenas o valor da Marfel.</t>
        </is>
      </c>
    </row>
    <row r="49">
      <c r="A49" s="6" t="inlineStr">
        <is>
          <t>Alça Camiseta</t>
        </is>
      </c>
      <c r="B49" s="7" t="inlineStr">
        <is>
          <t>35x45</t>
        </is>
      </c>
      <c r="C49" s="7" t="inlineStr">
        <is>
          <t>0,05</t>
        </is>
      </c>
      <c r="D49" s="7" t="inlineStr">
        <is>
          <t>500–599</t>
        </is>
      </c>
      <c r="E49" s="7" t="n">
        <v>500</v>
      </c>
      <c r="F49" s="8" t="n">
        <v>0.2394</v>
      </c>
      <c r="G49" s="8" t="n">
        <v>0</v>
      </c>
      <c r="H49" s="8" t="n">
        <v>0.2394</v>
      </c>
      <c r="I49" s="9" t="inlineStr">
        <is>
          <t>Marfel (unico)</t>
        </is>
      </c>
      <c r="J49" s="8" t="n">
        <v>0.3</v>
      </c>
      <c r="K49" s="10">
        <f>H49+J49</f>
        <v/>
      </c>
      <c r="L49" s="11" t="n">
        <v>0.6</v>
      </c>
      <c r="M49" s="10">
        <f>K49*(1+L49)</f>
        <v/>
      </c>
      <c r="N49" s="7" t="inlineStr">
        <is>
          <t>NOVO (Tabela Marfel V01JUN26)</t>
        </is>
      </c>
      <c r="O49" s="12" t="inlineStr">
        <is>
          <t>Sem custo cadastrado da Alquimia para esta gramatura — usado apenas o valor da Marfel.</t>
        </is>
      </c>
    </row>
    <row r="50">
      <c r="A50" s="6" t="inlineStr">
        <is>
          <t>Alça Camiseta</t>
        </is>
      </c>
      <c r="B50" s="7" t="inlineStr">
        <is>
          <t>35x45</t>
        </is>
      </c>
      <c r="C50" s="7" t="inlineStr">
        <is>
          <t>0,05</t>
        </is>
      </c>
      <c r="D50" s="7" t="inlineStr">
        <is>
          <t>600–699</t>
        </is>
      </c>
      <c r="E50" s="7" t="n">
        <v>600</v>
      </c>
      <c r="F50" s="8" t="n">
        <v>0.2394</v>
      </c>
      <c r="G50" s="8" t="n">
        <v>0</v>
      </c>
      <c r="H50" s="8" t="n">
        <v>0.2394</v>
      </c>
      <c r="I50" s="9" t="inlineStr">
        <is>
          <t>Marfel (unico)</t>
        </is>
      </c>
      <c r="J50" s="8" t="n">
        <v>0.3</v>
      </c>
      <c r="K50" s="10">
        <f>H50+J50</f>
        <v/>
      </c>
      <c r="L50" s="11" t="n">
        <v>0.57</v>
      </c>
      <c r="M50" s="10">
        <f>K50*(1+L50)</f>
        <v/>
      </c>
      <c r="N50" s="7" t="inlineStr">
        <is>
          <t>NOVO (Tabela Marfel V01JUN26)</t>
        </is>
      </c>
      <c r="O50" s="12" t="inlineStr">
        <is>
          <t>Sem custo cadastrado da Alquimia para esta gramatura — usado apenas o valor da Marfel.</t>
        </is>
      </c>
    </row>
    <row r="51">
      <c r="A51" s="6" t="inlineStr">
        <is>
          <t>Alça Camiseta</t>
        </is>
      </c>
      <c r="B51" s="7" t="inlineStr">
        <is>
          <t>35x45</t>
        </is>
      </c>
      <c r="C51" s="7" t="inlineStr">
        <is>
          <t>0,05</t>
        </is>
      </c>
      <c r="D51" s="7" t="inlineStr">
        <is>
          <t>700–799</t>
        </is>
      </c>
      <c r="E51" s="7" t="n">
        <v>700</v>
      </c>
      <c r="F51" s="8" t="n">
        <v>0.2394</v>
      </c>
      <c r="G51" s="8" t="n">
        <v>0</v>
      </c>
      <c r="H51" s="8" t="n">
        <v>0.2394</v>
      </c>
      <c r="I51" s="9" t="inlineStr">
        <is>
          <t>Marfel (unico)</t>
        </is>
      </c>
      <c r="J51" s="8" t="n">
        <v>0.3</v>
      </c>
      <c r="K51" s="10">
        <f>H51+J51</f>
        <v/>
      </c>
      <c r="L51" s="11" t="n">
        <v>0.54</v>
      </c>
      <c r="M51" s="10">
        <f>K51*(1+L51)</f>
        <v/>
      </c>
      <c r="N51" s="7" t="inlineStr">
        <is>
          <t>NOVO (Tabela Marfel V01JUN26)</t>
        </is>
      </c>
      <c r="O51" s="12" t="inlineStr">
        <is>
          <t>Sem custo cadastrado da Alquimia para esta gramatura — usado apenas o valor da Marfel.</t>
        </is>
      </c>
    </row>
    <row r="52">
      <c r="A52" s="6" t="inlineStr">
        <is>
          <t>Alça Camiseta</t>
        </is>
      </c>
      <c r="B52" s="7" t="inlineStr">
        <is>
          <t>35x45</t>
        </is>
      </c>
      <c r="C52" s="7" t="inlineStr">
        <is>
          <t>0,05</t>
        </is>
      </c>
      <c r="D52" s="7" t="inlineStr">
        <is>
          <t>800–899</t>
        </is>
      </c>
      <c r="E52" s="7" t="n">
        <v>800</v>
      </c>
      <c r="F52" s="8" t="n">
        <v>0.2394</v>
      </c>
      <c r="G52" s="8" t="n">
        <v>0</v>
      </c>
      <c r="H52" s="8" t="n">
        <v>0.2394</v>
      </c>
      <c r="I52" s="9" t="inlineStr">
        <is>
          <t>Marfel (unico)</t>
        </is>
      </c>
      <c r="J52" s="8" t="n">
        <v>0.3</v>
      </c>
      <c r="K52" s="10">
        <f>H52+J52</f>
        <v/>
      </c>
      <c r="L52" s="11" t="n">
        <v>0.51</v>
      </c>
      <c r="M52" s="10">
        <f>K52*(1+L52)</f>
        <v/>
      </c>
      <c r="N52" s="7" t="inlineStr">
        <is>
          <t>NOVO (Tabela Marfel V01JUN26)</t>
        </is>
      </c>
      <c r="O52" s="12" t="inlineStr">
        <is>
          <t>Sem custo cadastrado da Alquimia para esta gramatura — usado apenas o valor da Marfel.</t>
        </is>
      </c>
    </row>
    <row r="53">
      <c r="A53" s="6" t="inlineStr">
        <is>
          <t>Alça Camiseta</t>
        </is>
      </c>
      <c r="B53" s="7" t="inlineStr">
        <is>
          <t>35x45</t>
        </is>
      </c>
      <c r="C53" s="7" t="inlineStr">
        <is>
          <t>0,05</t>
        </is>
      </c>
      <c r="D53" s="7" t="inlineStr">
        <is>
          <t>900–999</t>
        </is>
      </c>
      <c r="E53" s="7" t="n">
        <v>900</v>
      </c>
      <c r="F53" s="8" t="n">
        <v>0.2394</v>
      </c>
      <c r="G53" s="8" t="n">
        <v>0</v>
      </c>
      <c r="H53" s="8" t="n">
        <v>0.2394</v>
      </c>
      <c r="I53" s="9" t="inlineStr">
        <is>
          <t>Marfel (unico)</t>
        </is>
      </c>
      <c r="J53" s="8" t="n">
        <v>0.3</v>
      </c>
      <c r="K53" s="10">
        <f>H53+J53</f>
        <v/>
      </c>
      <c r="L53" s="11" t="n">
        <v>0.48</v>
      </c>
      <c r="M53" s="10">
        <f>K53*(1+L53)</f>
        <v/>
      </c>
      <c r="N53" s="7" t="inlineStr">
        <is>
          <t>NOVO (Tabela Marfel V01JUN26)</t>
        </is>
      </c>
      <c r="O53" s="12" t="inlineStr">
        <is>
          <t>Sem custo cadastrado da Alquimia para esta gramatura — usado apenas o valor da Marfel.</t>
        </is>
      </c>
    </row>
    <row r="54">
      <c r="A54" s="6" t="inlineStr">
        <is>
          <t>Alça Camiseta</t>
        </is>
      </c>
      <c r="B54" s="7" t="inlineStr">
        <is>
          <t>35x45</t>
        </is>
      </c>
      <c r="C54" s="7" t="inlineStr">
        <is>
          <t>0,05</t>
        </is>
      </c>
      <c r="D54" s="7" t="inlineStr">
        <is>
          <t>1000+</t>
        </is>
      </c>
      <c r="E54" s="7" t="n">
        <v>1000</v>
      </c>
      <c r="F54" s="8" t="n">
        <v>0.2394</v>
      </c>
      <c r="G54" s="8" t="n">
        <v>0</v>
      </c>
      <c r="H54" s="8" t="n">
        <v>0.2394</v>
      </c>
      <c r="I54" s="9" t="inlineStr">
        <is>
          <t>Marfel (unico)</t>
        </is>
      </c>
      <c r="J54" s="8" t="n">
        <v>0.3</v>
      </c>
      <c r="K54" s="10">
        <f>H54+J54</f>
        <v/>
      </c>
      <c r="L54" s="11" t="n">
        <v>0.4</v>
      </c>
      <c r="M54" s="10">
        <f>K54*(1+L54)</f>
        <v/>
      </c>
      <c r="N54" s="7" t="inlineStr">
        <is>
          <t>NOVO (Tabela Marfel V01JUN26)</t>
        </is>
      </c>
      <c r="O54" s="12" t="inlineStr">
        <is>
          <t>Sem custo cadastrado da Alquimia para esta gramatura — usado apenas o valor da Marfel.</t>
        </is>
      </c>
    </row>
    <row r="55">
      <c r="A55" s="13" t="inlineStr">
        <is>
          <t>Alça Camiseta</t>
        </is>
      </c>
      <c r="B55" s="14" t="inlineStr">
        <is>
          <t>40x50</t>
        </is>
      </c>
      <c r="C55" s="14" t="inlineStr">
        <is>
          <t>0,05</t>
        </is>
      </c>
      <c r="D55" s="14" t="inlineStr">
        <is>
          <t>100–199</t>
        </is>
      </c>
      <c r="E55" s="14" t="n">
        <v>100</v>
      </c>
      <c r="F55" s="15" t="n">
        <v>0.3078</v>
      </c>
      <c r="G55" s="15" t="n">
        <v>0.207</v>
      </c>
      <c r="H55" s="15" t="n">
        <v>0.3078</v>
      </c>
      <c r="I55" s="16" t="inlineStr">
        <is>
          <t>Marfel</t>
        </is>
      </c>
      <c r="J55" s="15" t="n">
        <v>0.3</v>
      </c>
      <c r="K55" s="17">
        <f>H55+J55</f>
        <v/>
      </c>
      <c r="L55" s="18" t="n">
        <v>1</v>
      </c>
      <c r="M55" s="17">
        <f>K55*(1+L55)</f>
        <v/>
      </c>
      <c r="N55" s="14" t="inlineStr">
        <is>
          <t>já existia</t>
        </is>
      </c>
      <c r="O55" s="19" t="inlineStr"/>
    </row>
    <row r="56">
      <c r="A56" s="13" t="inlineStr">
        <is>
          <t>Alça Camiseta</t>
        </is>
      </c>
      <c r="B56" s="14" t="inlineStr">
        <is>
          <t>40x50</t>
        </is>
      </c>
      <c r="C56" s="14" t="inlineStr">
        <is>
          <t>0,05</t>
        </is>
      </c>
      <c r="D56" s="14" t="inlineStr">
        <is>
          <t>200–299</t>
        </is>
      </c>
      <c r="E56" s="14" t="n">
        <v>200</v>
      </c>
      <c r="F56" s="15" t="n">
        <v>0.3078</v>
      </c>
      <c r="G56" s="15" t="n">
        <v>0.207</v>
      </c>
      <c r="H56" s="15" t="n">
        <v>0.3078</v>
      </c>
      <c r="I56" s="16" t="inlineStr">
        <is>
          <t>Marfel</t>
        </is>
      </c>
      <c r="J56" s="15" t="n">
        <v>0.3</v>
      </c>
      <c r="K56" s="17">
        <f>H56+J56</f>
        <v/>
      </c>
      <c r="L56" s="18" t="n">
        <v>0.75</v>
      </c>
      <c r="M56" s="17">
        <f>K56*(1+L56)</f>
        <v/>
      </c>
      <c r="N56" s="14" t="inlineStr">
        <is>
          <t>já existia</t>
        </is>
      </c>
      <c r="O56" s="19" t="inlineStr"/>
    </row>
    <row r="57">
      <c r="A57" s="13" t="inlineStr">
        <is>
          <t>Alça Camiseta</t>
        </is>
      </c>
      <c r="B57" s="14" t="inlineStr">
        <is>
          <t>40x50</t>
        </is>
      </c>
      <c r="C57" s="14" t="inlineStr">
        <is>
          <t>0,05</t>
        </is>
      </c>
      <c r="D57" s="14" t="inlineStr">
        <is>
          <t>300–399</t>
        </is>
      </c>
      <c r="E57" s="14" t="n">
        <v>300</v>
      </c>
      <c r="F57" s="15" t="n">
        <v>0.3078</v>
      </c>
      <c r="G57" s="15" t="n">
        <v>0.207</v>
      </c>
      <c r="H57" s="15" t="n">
        <v>0.3078</v>
      </c>
      <c r="I57" s="16" t="inlineStr">
        <is>
          <t>Marfel</t>
        </is>
      </c>
      <c r="J57" s="15" t="n">
        <v>0.3</v>
      </c>
      <c r="K57" s="17">
        <f>H57+J57</f>
        <v/>
      </c>
      <c r="L57" s="18" t="n">
        <v>0.7</v>
      </c>
      <c r="M57" s="17">
        <f>K57*(1+L57)</f>
        <v/>
      </c>
      <c r="N57" s="14" t="inlineStr">
        <is>
          <t>já existia</t>
        </is>
      </c>
      <c r="O57" s="19" t="inlineStr"/>
    </row>
    <row r="58">
      <c r="A58" s="13" t="inlineStr">
        <is>
          <t>Alça Camiseta</t>
        </is>
      </c>
      <c r="B58" s="14" t="inlineStr">
        <is>
          <t>40x50</t>
        </is>
      </c>
      <c r="C58" s="14" t="inlineStr">
        <is>
          <t>0,05</t>
        </is>
      </c>
      <c r="D58" s="14" t="inlineStr">
        <is>
          <t>400–499</t>
        </is>
      </c>
      <c r="E58" s="14" t="n">
        <v>400</v>
      </c>
      <c r="F58" s="15" t="n">
        <v>0.3078</v>
      </c>
      <c r="G58" s="15" t="n">
        <v>0.207</v>
      </c>
      <c r="H58" s="15" t="n">
        <v>0.3078</v>
      </c>
      <c r="I58" s="16" t="inlineStr">
        <is>
          <t>Marfel</t>
        </is>
      </c>
      <c r="J58" s="15" t="n">
        <v>0.3</v>
      </c>
      <c r="K58" s="17">
        <f>H58+J58</f>
        <v/>
      </c>
      <c r="L58" s="18" t="n">
        <v>0.65</v>
      </c>
      <c r="M58" s="17">
        <f>K58*(1+L58)</f>
        <v/>
      </c>
      <c r="N58" s="14" t="inlineStr">
        <is>
          <t>já existia</t>
        </is>
      </c>
      <c r="O58" s="19" t="inlineStr"/>
    </row>
    <row r="59">
      <c r="A59" s="13" t="inlineStr">
        <is>
          <t>Alça Camiseta</t>
        </is>
      </c>
      <c r="B59" s="14" t="inlineStr">
        <is>
          <t>40x50</t>
        </is>
      </c>
      <c r="C59" s="14" t="inlineStr">
        <is>
          <t>0,05</t>
        </is>
      </c>
      <c r="D59" s="14" t="inlineStr">
        <is>
          <t>500–599</t>
        </is>
      </c>
      <c r="E59" s="14" t="n">
        <v>500</v>
      </c>
      <c r="F59" s="15" t="n">
        <v>0.3078</v>
      </c>
      <c r="G59" s="15" t="n">
        <v>0.207</v>
      </c>
      <c r="H59" s="15" t="n">
        <v>0.3078</v>
      </c>
      <c r="I59" s="16" t="inlineStr">
        <is>
          <t>Marfel</t>
        </is>
      </c>
      <c r="J59" s="15" t="n">
        <v>0.3</v>
      </c>
      <c r="K59" s="17">
        <f>H59+J59</f>
        <v/>
      </c>
      <c r="L59" s="18" t="n">
        <v>0.6</v>
      </c>
      <c r="M59" s="17">
        <f>K59*(1+L59)</f>
        <v/>
      </c>
      <c r="N59" s="14" t="inlineStr">
        <is>
          <t>já existia</t>
        </is>
      </c>
      <c r="O59" s="19" t="inlineStr"/>
    </row>
    <row r="60">
      <c r="A60" s="13" t="inlineStr">
        <is>
          <t>Alça Camiseta</t>
        </is>
      </c>
      <c r="B60" s="14" t="inlineStr">
        <is>
          <t>40x50</t>
        </is>
      </c>
      <c r="C60" s="14" t="inlineStr">
        <is>
          <t>0,05</t>
        </is>
      </c>
      <c r="D60" s="14" t="inlineStr">
        <is>
          <t>600–699</t>
        </is>
      </c>
      <c r="E60" s="14" t="n">
        <v>600</v>
      </c>
      <c r="F60" s="15" t="n">
        <v>0.3078</v>
      </c>
      <c r="G60" s="15" t="n">
        <v>0.207</v>
      </c>
      <c r="H60" s="15" t="n">
        <v>0.3078</v>
      </c>
      <c r="I60" s="16" t="inlineStr">
        <is>
          <t>Marfel</t>
        </is>
      </c>
      <c r="J60" s="15" t="n">
        <v>0.3</v>
      </c>
      <c r="K60" s="17">
        <f>H60+J60</f>
        <v/>
      </c>
      <c r="L60" s="18" t="n">
        <v>0.57</v>
      </c>
      <c r="M60" s="17">
        <f>K60*(1+L60)</f>
        <v/>
      </c>
      <c r="N60" s="14" t="inlineStr">
        <is>
          <t>já existia</t>
        </is>
      </c>
      <c r="O60" s="19" t="inlineStr"/>
    </row>
    <row r="61">
      <c r="A61" s="13" t="inlineStr">
        <is>
          <t>Alça Camiseta</t>
        </is>
      </c>
      <c r="B61" s="14" t="inlineStr">
        <is>
          <t>40x50</t>
        </is>
      </c>
      <c r="C61" s="14" t="inlineStr">
        <is>
          <t>0,05</t>
        </is>
      </c>
      <c r="D61" s="14" t="inlineStr">
        <is>
          <t>700–799</t>
        </is>
      </c>
      <c r="E61" s="14" t="n">
        <v>700</v>
      </c>
      <c r="F61" s="15" t="n">
        <v>0.3078</v>
      </c>
      <c r="G61" s="15" t="n">
        <v>0.207</v>
      </c>
      <c r="H61" s="15" t="n">
        <v>0.3078</v>
      </c>
      <c r="I61" s="16" t="inlineStr">
        <is>
          <t>Marfel</t>
        </is>
      </c>
      <c r="J61" s="15" t="n">
        <v>0.3</v>
      </c>
      <c r="K61" s="17">
        <f>H61+J61</f>
        <v/>
      </c>
      <c r="L61" s="18" t="n">
        <v>0.54</v>
      </c>
      <c r="M61" s="17">
        <f>K61*(1+L61)</f>
        <v/>
      </c>
      <c r="N61" s="14" t="inlineStr">
        <is>
          <t>já existia</t>
        </is>
      </c>
      <c r="O61" s="19" t="inlineStr"/>
    </row>
    <row r="62">
      <c r="A62" s="13" t="inlineStr">
        <is>
          <t>Alça Camiseta</t>
        </is>
      </c>
      <c r="B62" s="14" t="inlineStr">
        <is>
          <t>40x50</t>
        </is>
      </c>
      <c r="C62" s="14" t="inlineStr">
        <is>
          <t>0,05</t>
        </is>
      </c>
      <c r="D62" s="14" t="inlineStr">
        <is>
          <t>800–899</t>
        </is>
      </c>
      <c r="E62" s="14" t="n">
        <v>800</v>
      </c>
      <c r="F62" s="15" t="n">
        <v>0.3078</v>
      </c>
      <c r="G62" s="15" t="n">
        <v>0.207</v>
      </c>
      <c r="H62" s="15" t="n">
        <v>0.3078</v>
      </c>
      <c r="I62" s="16" t="inlineStr">
        <is>
          <t>Marfel</t>
        </is>
      </c>
      <c r="J62" s="15" t="n">
        <v>0.3</v>
      </c>
      <c r="K62" s="17">
        <f>H62+J62</f>
        <v/>
      </c>
      <c r="L62" s="18" t="n">
        <v>0.51</v>
      </c>
      <c r="M62" s="17">
        <f>K62*(1+L62)</f>
        <v/>
      </c>
      <c r="N62" s="14" t="inlineStr">
        <is>
          <t>já existia</t>
        </is>
      </c>
      <c r="O62" s="19" t="inlineStr"/>
    </row>
    <row r="63">
      <c r="A63" s="13" t="inlineStr">
        <is>
          <t>Alça Camiseta</t>
        </is>
      </c>
      <c r="B63" s="14" t="inlineStr">
        <is>
          <t>40x50</t>
        </is>
      </c>
      <c r="C63" s="14" t="inlineStr">
        <is>
          <t>0,05</t>
        </is>
      </c>
      <c r="D63" s="14" t="inlineStr">
        <is>
          <t>900–999</t>
        </is>
      </c>
      <c r="E63" s="14" t="n">
        <v>900</v>
      </c>
      <c r="F63" s="15" t="n">
        <v>0.3078</v>
      </c>
      <c r="G63" s="15" t="n">
        <v>0.207</v>
      </c>
      <c r="H63" s="15" t="n">
        <v>0.3078</v>
      </c>
      <c r="I63" s="16" t="inlineStr">
        <is>
          <t>Marfel</t>
        </is>
      </c>
      <c r="J63" s="15" t="n">
        <v>0.3</v>
      </c>
      <c r="K63" s="17">
        <f>H63+J63</f>
        <v/>
      </c>
      <c r="L63" s="18" t="n">
        <v>0.48</v>
      </c>
      <c r="M63" s="17">
        <f>K63*(1+L63)</f>
        <v/>
      </c>
      <c r="N63" s="14" t="inlineStr">
        <is>
          <t>já existia</t>
        </is>
      </c>
      <c r="O63" s="19" t="inlineStr"/>
    </row>
    <row r="64">
      <c r="A64" s="13" t="inlineStr">
        <is>
          <t>Alça Camiseta</t>
        </is>
      </c>
      <c r="B64" s="14" t="inlineStr">
        <is>
          <t>40x50</t>
        </is>
      </c>
      <c r="C64" s="14" t="inlineStr">
        <is>
          <t>0,05</t>
        </is>
      </c>
      <c r="D64" s="14" t="inlineStr">
        <is>
          <t>1000+</t>
        </is>
      </c>
      <c r="E64" s="14" t="n">
        <v>1000</v>
      </c>
      <c r="F64" s="15" t="n">
        <v>0.3078</v>
      </c>
      <c r="G64" s="15" t="n">
        <v>0.207</v>
      </c>
      <c r="H64" s="15" t="n">
        <v>0.3078</v>
      </c>
      <c r="I64" s="16" t="inlineStr">
        <is>
          <t>Marfel</t>
        </is>
      </c>
      <c r="J64" s="15" t="n">
        <v>0.3</v>
      </c>
      <c r="K64" s="17">
        <f>H64+J64</f>
        <v/>
      </c>
      <c r="L64" s="18" t="n">
        <v>0.4</v>
      </c>
      <c r="M64" s="17">
        <f>K64*(1+L64)</f>
        <v/>
      </c>
      <c r="N64" s="14" t="inlineStr">
        <is>
          <t>já existia</t>
        </is>
      </c>
      <c r="O64" s="19" t="inlineStr"/>
    </row>
    <row r="65">
      <c r="A65" s="6" t="inlineStr">
        <is>
          <t>Alça Camiseta</t>
        </is>
      </c>
      <c r="B65" s="7" t="inlineStr">
        <is>
          <t>40x50</t>
        </is>
      </c>
      <c r="C65" s="7" t="inlineStr">
        <is>
          <t>0,06</t>
        </is>
      </c>
      <c r="D65" s="7" t="inlineStr">
        <is>
          <t>100–199</t>
        </is>
      </c>
      <c r="E65" s="7" t="n">
        <v>100</v>
      </c>
      <c r="F65" s="8" t="n">
        <v>0</v>
      </c>
      <c r="G65" s="8" t="n">
        <v>0.2915</v>
      </c>
      <c r="H65" s="8" t="n">
        <v>0.2915</v>
      </c>
      <c r="I65" s="9" t="inlineStr">
        <is>
          <t>Alquimia (unico)</t>
        </is>
      </c>
      <c r="J65" s="8" t="n">
        <v>0.3</v>
      </c>
      <c r="K65" s="10">
        <f>H65+J65</f>
        <v/>
      </c>
      <c r="L65" s="11" t="n">
        <v>1</v>
      </c>
      <c r="M65" s="10">
        <f>K65*(1+L65)</f>
        <v/>
      </c>
      <c r="N65" s="7" t="inlineStr">
        <is>
          <t>já existia</t>
        </is>
      </c>
      <c r="O65" s="12" t="inlineStr">
        <is>
          <t>Sem custo cadastrado da Marfel para esta gramatura — usado apenas o valor da Alquimia.</t>
        </is>
      </c>
    </row>
    <row r="66">
      <c r="A66" s="6" t="inlineStr">
        <is>
          <t>Alça Camiseta</t>
        </is>
      </c>
      <c r="B66" s="7" t="inlineStr">
        <is>
          <t>40x50</t>
        </is>
      </c>
      <c r="C66" s="7" t="inlineStr">
        <is>
          <t>0,06</t>
        </is>
      </c>
      <c r="D66" s="7" t="inlineStr">
        <is>
          <t>200–299</t>
        </is>
      </c>
      <c r="E66" s="7" t="n">
        <v>200</v>
      </c>
      <c r="F66" s="8" t="n">
        <v>0</v>
      </c>
      <c r="G66" s="8" t="n">
        <v>0.2915</v>
      </c>
      <c r="H66" s="8" t="n">
        <v>0.2915</v>
      </c>
      <c r="I66" s="9" t="inlineStr">
        <is>
          <t>Alquimia (unico)</t>
        </is>
      </c>
      <c r="J66" s="8" t="n">
        <v>0.3</v>
      </c>
      <c r="K66" s="10">
        <f>H66+J66</f>
        <v/>
      </c>
      <c r="L66" s="11" t="n">
        <v>0.75</v>
      </c>
      <c r="M66" s="10">
        <f>K66*(1+L66)</f>
        <v/>
      </c>
      <c r="N66" s="7" t="inlineStr">
        <is>
          <t>já existia</t>
        </is>
      </c>
      <c r="O66" s="12" t="inlineStr">
        <is>
          <t>Sem custo cadastrado da Marfel para esta gramatura — usado apenas o valor da Alquimia.</t>
        </is>
      </c>
    </row>
    <row r="67">
      <c r="A67" s="6" t="inlineStr">
        <is>
          <t>Alça Camiseta</t>
        </is>
      </c>
      <c r="B67" s="7" t="inlineStr">
        <is>
          <t>40x50</t>
        </is>
      </c>
      <c r="C67" s="7" t="inlineStr">
        <is>
          <t>0,06</t>
        </is>
      </c>
      <c r="D67" s="7" t="inlineStr">
        <is>
          <t>300–399</t>
        </is>
      </c>
      <c r="E67" s="7" t="n">
        <v>300</v>
      </c>
      <c r="F67" s="8" t="n">
        <v>0</v>
      </c>
      <c r="G67" s="8" t="n">
        <v>0.2915</v>
      </c>
      <c r="H67" s="8" t="n">
        <v>0.2915</v>
      </c>
      <c r="I67" s="9" t="inlineStr">
        <is>
          <t>Alquimia (unico)</t>
        </is>
      </c>
      <c r="J67" s="8" t="n">
        <v>0.3</v>
      </c>
      <c r="K67" s="10">
        <f>H67+J67</f>
        <v/>
      </c>
      <c r="L67" s="11" t="n">
        <v>0.7</v>
      </c>
      <c r="M67" s="10">
        <f>K67*(1+L67)</f>
        <v/>
      </c>
      <c r="N67" s="7" t="inlineStr">
        <is>
          <t>já existia</t>
        </is>
      </c>
      <c r="O67" s="12" t="inlineStr">
        <is>
          <t>Sem custo cadastrado da Marfel para esta gramatura — usado apenas o valor da Alquimia.</t>
        </is>
      </c>
    </row>
    <row r="68">
      <c r="A68" s="6" t="inlineStr">
        <is>
          <t>Alça Camiseta</t>
        </is>
      </c>
      <c r="B68" s="7" t="inlineStr">
        <is>
          <t>40x50</t>
        </is>
      </c>
      <c r="C68" s="7" t="inlineStr">
        <is>
          <t>0,06</t>
        </is>
      </c>
      <c r="D68" s="7" t="inlineStr">
        <is>
          <t>400–499</t>
        </is>
      </c>
      <c r="E68" s="7" t="n">
        <v>400</v>
      </c>
      <c r="F68" s="8" t="n">
        <v>0</v>
      </c>
      <c r="G68" s="8" t="n">
        <v>0.2915</v>
      </c>
      <c r="H68" s="8" t="n">
        <v>0.2915</v>
      </c>
      <c r="I68" s="9" t="inlineStr">
        <is>
          <t>Alquimia (unico)</t>
        </is>
      </c>
      <c r="J68" s="8" t="n">
        <v>0.3</v>
      </c>
      <c r="K68" s="10">
        <f>H68+J68</f>
        <v/>
      </c>
      <c r="L68" s="11" t="n">
        <v>0.65</v>
      </c>
      <c r="M68" s="10">
        <f>K68*(1+L68)</f>
        <v/>
      </c>
      <c r="N68" s="7" t="inlineStr">
        <is>
          <t>já existia</t>
        </is>
      </c>
      <c r="O68" s="12" t="inlineStr">
        <is>
          <t>Sem custo cadastrado da Marfel para esta gramatura — usado apenas o valor da Alquimia.</t>
        </is>
      </c>
    </row>
    <row r="69">
      <c r="A69" s="6" t="inlineStr">
        <is>
          <t>Alça Camiseta</t>
        </is>
      </c>
      <c r="B69" s="7" t="inlineStr">
        <is>
          <t>40x50</t>
        </is>
      </c>
      <c r="C69" s="7" t="inlineStr">
        <is>
          <t>0,06</t>
        </is>
      </c>
      <c r="D69" s="7" t="inlineStr">
        <is>
          <t>500–599</t>
        </is>
      </c>
      <c r="E69" s="7" t="n">
        <v>500</v>
      </c>
      <c r="F69" s="8" t="n">
        <v>0</v>
      </c>
      <c r="G69" s="8" t="n">
        <v>0.2915</v>
      </c>
      <c r="H69" s="8" t="n">
        <v>0.2915</v>
      </c>
      <c r="I69" s="9" t="inlineStr">
        <is>
          <t>Alquimia (unico)</t>
        </is>
      </c>
      <c r="J69" s="8" t="n">
        <v>0.3</v>
      </c>
      <c r="K69" s="10">
        <f>H69+J69</f>
        <v/>
      </c>
      <c r="L69" s="11" t="n">
        <v>0.6</v>
      </c>
      <c r="M69" s="10">
        <f>K69*(1+L69)</f>
        <v/>
      </c>
      <c r="N69" s="7" t="inlineStr">
        <is>
          <t>já existia</t>
        </is>
      </c>
      <c r="O69" s="12" t="inlineStr">
        <is>
          <t>Sem custo cadastrado da Marfel para esta gramatura — usado apenas o valor da Alquimia.</t>
        </is>
      </c>
    </row>
    <row r="70">
      <c r="A70" s="6" t="inlineStr">
        <is>
          <t>Alça Camiseta</t>
        </is>
      </c>
      <c r="B70" s="7" t="inlineStr">
        <is>
          <t>40x50</t>
        </is>
      </c>
      <c r="C70" s="7" t="inlineStr">
        <is>
          <t>0,06</t>
        </is>
      </c>
      <c r="D70" s="7" t="inlineStr">
        <is>
          <t>600–699</t>
        </is>
      </c>
      <c r="E70" s="7" t="n">
        <v>600</v>
      </c>
      <c r="F70" s="8" t="n">
        <v>0</v>
      </c>
      <c r="G70" s="8" t="n">
        <v>0.2915</v>
      </c>
      <c r="H70" s="8" t="n">
        <v>0.2915</v>
      </c>
      <c r="I70" s="9" t="inlineStr">
        <is>
          <t>Alquimia (unico)</t>
        </is>
      </c>
      <c r="J70" s="8" t="n">
        <v>0.3</v>
      </c>
      <c r="K70" s="10">
        <f>H70+J70</f>
        <v/>
      </c>
      <c r="L70" s="11" t="n">
        <v>0.57</v>
      </c>
      <c r="M70" s="10">
        <f>K70*(1+L70)</f>
        <v/>
      </c>
      <c r="N70" s="7" t="inlineStr">
        <is>
          <t>já existia</t>
        </is>
      </c>
      <c r="O70" s="12" t="inlineStr">
        <is>
          <t>Sem custo cadastrado da Marfel para esta gramatura — usado apenas o valor da Alquimia.</t>
        </is>
      </c>
    </row>
    <row r="71">
      <c r="A71" s="6" t="inlineStr">
        <is>
          <t>Alça Camiseta</t>
        </is>
      </c>
      <c r="B71" s="7" t="inlineStr">
        <is>
          <t>40x50</t>
        </is>
      </c>
      <c r="C71" s="7" t="inlineStr">
        <is>
          <t>0,06</t>
        </is>
      </c>
      <c r="D71" s="7" t="inlineStr">
        <is>
          <t>700–799</t>
        </is>
      </c>
      <c r="E71" s="7" t="n">
        <v>700</v>
      </c>
      <c r="F71" s="8" t="n">
        <v>0</v>
      </c>
      <c r="G71" s="8" t="n">
        <v>0.2915</v>
      </c>
      <c r="H71" s="8" t="n">
        <v>0.2915</v>
      </c>
      <c r="I71" s="9" t="inlineStr">
        <is>
          <t>Alquimia (unico)</t>
        </is>
      </c>
      <c r="J71" s="8" t="n">
        <v>0.3</v>
      </c>
      <c r="K71" s="10">
        <f>H71+J71</f>
        <v/>
      </c>
      <c r="L71" s="11" t="n">
        <v>0.54</v>
      </c>
      <c r="M71" s="10">
        <f>K71*(1+L71)</f>
        <v/>
      </c>
      <c r="N71" s="7" t="inlineStr">
        <is>
          <t>já existia</t>
        </is>
      </c>
      <c r="O71" s="12" t="inlineStr">
        <is>
          <t>Sem custo cadastrado da Marfel para esta gramatura — usado apenas o valor da Alquimia.</t>
        </is>
      </c>
    </row>
    <row r="72">
      <c r="A72" s="6" t="inlineStr">
        <is>
          <t>Alça Camiseta</t>
        </is>
      </c>
      <c r="B72" s="7" t="inlineStr">
        <is>
          <t>40x50</t>
        </is>
      </c>
      <c r="C72" s="7" t="inlineStr">
        <is>
          <t>0,06</t>
        </is>
      </c>
      <c r="D72" s="7" t="inlineStr">
        <is>
          <t>800–899</t>
        </is>
      </c>
      <c r="E72" s="7" t="n">
        <v>800</v>
      </c>
      <c r="F72" s="8" t="n">
        <v>0</v>
      </c>
      <c r="G72" s="8" t="n">
        <v>0.2915</v>
      </c>
      <c r="H72" s="8" t="n">
        <v>0.2915</v>
      </c>
      <c r="I72" s="9" t="inlineStr">
        <is>
          <t>Alquimia (unico)</t>
        </is>
      </c>
      <c r="J72" s="8" t="n">
        <v>0.3</v>
      </c>
      <c r="K72" s="10">
        <f>H72+J72</f>
        <v/>
      </c>
      <c r="L72" s="11" t="n">
        <v>0.51</v>
      </c>
      <c r="M72" s="10">
        <f>K72*(1+L72)</f>
        <v/>
      </c>
      <c r="N72" s="7" t="inlineStr">
        <is>
          <t>já existia</t>
        </is>
      </c>
      <c r="O72" s="12" t="inlineStr">
        <is>
          <t>Sem custo cadastrado da Marfel para esta gramatura — usado apenas o valor da Alquimia.</t>
        </is>
      </c>
    </row>
    <row r="73">
      <c r="A73" s="6" t="inlineStr">
        <is>
          <t>Alça Camiseta</t>
        </is>
      </c>
      <c r="B73" s="7" t="inlineStr">
        <is>
          <t>40x50</t>
        </is>
      </c>
      <c r="C73" s="7" t="inlineStr">
        <is>
          <t>0,06</t>
        </is>
      </c>
      <c r="D73" s="7" t="inlineStr">
        <is>
          <t>900–999</t>
        </is>
      </c>
      <c r="E73" s="7" t="n">
        <v>900</v>
      </c>
      <c r="F73" s="8" t="n">
        <v>0</v>
      </c>
      <c r="G73" s="8" t="n">
        <v>0.2915</v>
      </c>
      <c r="H73" s="8" t="n">
        <v>0.2915</v>
      </c>
      <c r="I73" s="9" t="inlineStr">
        <is>
          <t>Alquimia (unico)</t>
        </is>
      </c>
      <c r="J73" s="8" t="n">
        <v>0.3</v>
      </c>
      <c r="K73" s="10">
        <f>H73+J73</f>
        <v/>
      </c>
      <c r="L73" s="11" t="n">
        <v>0.48</v>
      </c>
      <c r="M73" s="10">
        <f>K73*(1+L73)</f>
        <v/>
      </c>
      <c r="N73" s="7" t="inlineStr">
        <is>
          <t>já existia</t>
        </is>
      </c>
      <c r="O73" s="12" t="inlineStr">
        <is>
          <t>Sem custo cadastrado da Marfel para esta gramatura — usado apenas o valor da Alquimia.</t>
        </is>
      </c>
    </row>
    <row r="74">
      <c r="A74" s="6" t="inlineStr">
        <is>
          <t>Alça Camiseta</t>
        </is>
      </c>
      <c r="B74" s="7" t="inlineStr">
        <is>
          <t>40x50</t>
        </is>
      </c>
      <c r="C74" s="7" t="inlineStr">
        <is>
          <t>0,06</t>
        </is>
      </c>
      <c r="D74" s="7" t="inlineStr">
        <is>
          <t>1000+</t>
        </is>
      </c>
      <c r="E74" s="7" t="n">
        <v>1000</v>
      </c>
      <c r="F74" s="8" t="n">
        <v>0</v>
      </c>
      <c r="G74" s="8" t="n">
        <v>0.2915</v>
      </c>
      <c r="H74" s="8" t="n">
        <v>0.2915</v>
      </c>
      <c r="I74" s="9" t="inlineStr">
        <is>
          <t>Alquimia (unico)</t>
        </is>
      </c>
      <c r="J74" s="8" t="n">
        <v>0.3</v>
      </c>
      <c r="K74" s="10">
        <f>H74+J74</f>
        <v/>
      </c>
      <c r="L74" s="11" t="n">
        <v>0.4</v>
      </c>
      <c r="M74" s="10">
        <f>K74*(1+L74)</f>
        <v/>
      </c>
      <c r="N74" s="7" t="inlineStr">
        <is>
          <t>já existia</t>
        </is>
      </c>
      <c r="O74" s="12" t="inlineStr">
        <is>
          <t>Sem custo cadastrado da Marfel para esta gramatura — usado apenas o valor da Alquimia.</t>
        </is>
      </c>
    </row>
    <row r="75">
      <c r="A75" s="13" t="inlineStr">
        <is>
          <t>Alça Camiseta</t>
        </is>
      </c>
      <c r="B75" s="14" t="inlineStr">
        <is>
          <t>45x60</t>
        </is>
      </c>
      <c r="C75" s="14" t="inlineStr">
        <is>
          <t>0,05</t>
        </is>
      </c>
      <c r="D75" s="14" t="inlineStr">
        <is>
          <t>100–199</t>
        </is>
      </c>
      <c r="E75" s="14" t="n">
        <v>100</v>
      </c>
      <c r="F75" s="15" t="n">
        <v>0.4617</v>
      </c>
      <c r="G75" s="15" t="n">
        <v>0.2806</v>
      </c>
      <c r="H75" s="15" t="n">
        <v>0.4617</v>
      </c>
      <c r="I75" s="16" t="inlineStr">
        <is>
          <t>Marfel</t>
        </is>
      </c>
      <c r="J75" s="15" t="n">
        <v>0.3</v>
      </c>
      <c r="K75" s="17">
        <f>H75+J75</f>
        <v/>
      </c>
      <c r="L75" s="18" t="n">
        <v>1</v>
      </c>
      <c r="M75" s="17">
        <f>K75*(1+L75)</f>
        <v/>
      </c>
      <c r="N75" s="14" t="inlineStr">
        <is>
          <t>já existia</t>
        </is>
      </c>
      <c r="O75" s="19" t="inlineStr"/>
    </row>
    <row r="76">
      <c r="A76" s="13" t="inlineStr">
        <is>
          <t>Alça Camiseta</t>
        </is>
      </c>
      <c r="B76" s="14" t="inlineStr">
        <is>
          <t>45x60</t>
        </is>
      </c>
      <c r="C76" s="14" t="inlineStr">
        <is>
          <t>0,05</t>
        </is>
      </c>
      <c r="D76" s="14" t="inlineStr">
        <is>
          <t>200–299</t>
        </is>
      </c>
      <c r="E76" s="14" t="n">
        <v>200</v>
      </c>
      <c r="F76" s="15" t="n">
        <v>0.4617</v>
      </c>
      <c r="G76" s="15" t="n">
        <v>0.2806</v>
      </c>
      <c r="H76" s="15" t="n">
        <v>0.4617</v>
      </c>
      <c r="I76" s="16" t="inlineStr">
        <is>
          <t>Marfel</t>
        </is>
      </c>
      <c r="J76" s="15" t="n">
        <v>0.3</v>
      </c>
      <c r="K76" s="17">
        <f>H76+J76</f>
        <v/>
      </c>
      <c r="L76" s="18" t="n">
        <v>0.75</v>
      </c>
      <c r="M76" s="17">
        <f>K76*(1+L76)</f>
        <v/>
      </c>
      <c r="N76" s="14" t="inlineStr">
        <is>
          <t>já existia</t>
        </is>
      </c>
      <c r="O76" s="19" t="inlineStr"/>
    </row>
    <row r="77">
      <c r="A77" s="13" t="inlineStr">
        <is>
          <t>Alça Camiseta</t>
        </is>
      </c>
      <c r="B77" s="14" t="inlineStr">
        <is>
          <t>45x60</t>
        </is>
      </c>
      <c r="C77" s="14" t="inlineStr">
        <is>
          <t>0,05</t>
        </is>
      </c>
      <c r="D77" s="14" t="inlineStr">
        <is>
          <t>300–399</t>
        </is>
      </c>
      <c r="E77" s="14" t="n">
        <v>300</v>
      </c>
      <c r="F77" s="15" t="n">
        <v>0.4617</v>
      </c>
      <c r="G77" s="15" t="n">
        <v>0.2806</v>
      </c>
      <c r="H77" s="15" t="n">
        <v>0.4617</v>
      </c>
      <c r="I77" s="16" t="inlineStr">
        <is>
          <t>Marfel</t>
        </is>
      </c>
      <c r="J77" s="15" t="n">
        <v>0.3</v>
      </c>
      <c r="K77" s="17">
        <f>H77+J77</f>
        <v/>
      </c>
      <c r="L77" s="18" t="n">
        <v>0.7</v>
      </c>
      <c r="M77" s="17">
        <f>K77*(1+L77)</f>
        <v/>
      </c>
      <c r="N77" s="14" t="inlineStr">
        <is>
          <t>já existia</t>
        </is>
      </c>
      <c r="O77" s="19" t="inlineStr"/>
    </row>
    <row r="78">
      <c r="A78" s="13" t="inlineStr">
        <is>
          <t>Alça Camiseta</t>
        </is>
      </c>
      <c r="B78" s="14" t="inlineStr">
        <is>
          <t>45x60</t>
        </is>
      </c>
      <c r="C78" s="14" t="inlineStr">
        <is>
          <t>0,05</t>
        </is>
      </c>
      <c r="D78" s="14" t="inlineStr">
        <is>
          <t>400–499</t>
        </is>
      </c>
      <c r="E78" s="14" t="n">
        <v>400</v>
      </c>
      <c r="F78" s="15" t="n">
        <v>0.4617</v>
      </c>
      <c r="G78" s="15" t="n">
        <v>0.2806</v>
      </c>
      <c r="H78" s="15" t="n">
        <v>0.4617</v>
      </c>
      <c r="I78" s="16" t="inlineStr">
        <is>
          <t>Marfel</t>
        </is>
      </c>
      <c r="J78" s="15" t="n">
        <v>0.3</v>
      </c>
      <c r="K78" s="17">
        <f>H78+J78</f>
        <v/>
      </c>
      <c r="L78" s="18" t="n">
        <v>0.65</v>
      </c>
      <c r="M78" s="17">
        <f>K78*(1+L78)</f>
        <v/>
      </c>
      <c r="N78" s="14" t="inlineStr">
        <is>
          <t>já existia</t>
        </is>
      </c>
      <c r="O78" s="19" t="inlineStr"/>
    </row>
    <row r="79">
      <c r="A79" s="13" t="inlineStr">
        <is>
          <t>Alça Camiseta</t>
        </is>
      </c>
      <c r="B79" s="14" t="inlineStr">
        <is>
          <t>45x60</t>
        </is>
      </c>
      <c r="C79" s="14" t="inlineStr">
        <is>
          <t>0,05</t>
        </is>
      </c>
      <c r="D79" s="14" t="inlineStr">
        <is>
          <t>500–599</t>
        </is>
      </c>
      <c r="E79" s="14" t="n">
        <v>500</v>
      </c>
      <c r="F79" s="15" t="n">
        <v>0.4617</v>
      </c>
      <c r="G79" s="15" t="n">
        <v>0.2806</v>
      </c>
      <c r="H79" s="15" t="n">
        <v>0.4617</v>
      </c>
      <c r="I79" s="16" t="inlineStr">
        <is>
          <t>Marfel</t>
        </is>
      </c>
      <c r="J79" s="15" t="n">
        <v>0.3</v>
      </c>
      <c r="K79" s="17">
        <f>H79+J79</f>
        <v/>
      </c>
      <c r="L79" s="18" t="n">
        <v>0.6</v>
      </c>
      <c r="M79" s="17">
        <f>K79*(1+L79)</f>
        <v/>
      </c>
      <c r="N79" s="14" t="inlineStr">
        <is>
          <t>já existia</t>
        </is>
      </c>
      <c r="O79" s="19" t="inlineStr"/>
    </row>
    <row r="80">
      <c r="A80" s="13" t="inlineStr">
        <is>
          <t>Alça Camiseta</t>
        </is>
      </c>
      <c r="B80" s="14" t="inlineStr">
        <is>
          <t>45x60</t>
        </is>
      </c>
      <c r="C80" s="14" t="inlineStr">
        <is>
          <t>0,05</t>
        </is>
      </c>
      <c r="D80" s="14" t="inlineStr">
        <is>
          <t>600–699</t>
        </is>
      </c>
      <c r="E80" s="14" t="n">
        <v>600</v>
      </c>
      <c r="F80" s="15" t="n">
        <v>0.4617</v>
      </c>
      <c r="G80" s="15" t="n">
        <v>0.2806</v>
      </c>
      <c r="H80" s="15" t="n">
        <v>0.4617</v>
      </c>
      <c r="I80" s="16" t="inlineStr">
        <is>
          <t>Marfel</t>
        </is>
      </c>
      <c r="J80" s="15" t="n">
        <v>0.3</v>
      </c>
      <c r="K80" s="17">
        <f>H80+J80</f>
        <v/>
      </c>
      <c r="L80" s="18" t="n">
        <v>0.57</v>
      </c>
      <c r="M80" s="17">
        <f>K80*(1+L80)</f>
        <v/>
      </c>
      <c r="N80" s="14" t="inlineStr">
        <is>
          <t>já existia</t>
        </is>
      </c>
      <c r="O80" s="19" t="inlineStr"/>
    </row>
    <row r="81">
      <c r="A81" s="13" t="inlineStr">
        <is>
          <t>Alça Camiseta</t>
        </is>
      </c>
      <c r="B81" s="14" t="inlineStr">
        <is>
          <t>45x60</t>
        </is>
      </c>
      <c r="C81" s="14" t="inlineStr">
        <is>
          <t>0,05</t>
        </is>
      </c>
      <c r="D81" s="14" t="inlineStr">
        <is>
          <t>700–799</t>
        </is>
      </c>
      <c r="E81" s="14" t="n">
        <v>700</v>
      </c>
      <c r="F81" s="15" t="n">
        <v>0.4617</v>
      </c>
      <c r="G81" s="15" t="n">
        <v>0.2806</v>
      </c>
      <c r="H81" s="15" t="n">
        <v>0.4617</v>
      </c>
      <c r="I81" s="16" t="inlineStr">
        <is>
          <t>Marfel</t>
        </is>
      </c>
      <c r="J81" s="15" t="n">
        <v>0.3</v>
      </c>
      <c r="K81" s="17">
        <f>H81+J81</f>
        <v/>
      </c>
      <c r="L81" s="18" t="n">
        <v>0.54</v>
      </c>
      <c r="M81" s="17">
        <f>K81*(1+L81)</f>
        <v/>
      </c>
      <c r="N81" s="14" t="inlineStr">
        <is>
          <t>já existia</t>
        </is>
      </c>
      <c r="O81" s="19" t="inlineStr"/>
    </row>
    <row r="82">
      <c r="A82" s="13" t="inlineStr">
        <is>
          <t>Alça Camiseta</t>
        </is>
      </c>
      <c r="B82" s="14" t="inlineStr">
        <is>
          <t>45x60</t>
        </is>
      </c>
      <c r="C82" s="14" t="inlineStr">
        <is>
          <t>0,05</t>
        </is>
      </c>
      <c r="D82" s="14" t="inlineStr">
        <is>
          <t>800–899</t>
        </is>
      </c>
      <c r="E82" s="14" t="n">
        <v>800</v>
      </c>
      <c r="F82" s="15" t="n">
        <v>0.4617</v>
      </c>
      <c r="G82" s="15" t="n">
        <v>0.2806</v>
      </c>
      <c r="H82" s="15" t="n">
        <v>0.4617</v>
      </c>
      <c r="I82" s="16" t="inlineStr">
        <is>
          <t>Marfel</t>
        </is>
      </c>
      <c r="J82" s="15" t="n">
        <v>0.3</v>
      </c>
      <c r="K82" s="17">
        <f>H82+J82</f>
        <v/>
      </c>
      <c r="L82" s="18" t="n">
        <v>0.51</v>
      </c>
      <c r="M82" s="17">
        <f>K82*(1+L82)</f>
        <v/>
      </c>
      <c r="N82" s="14" t="inlineStr">
        <is>
          <t>já existia</t>
        </is>
      </c>
      <c r="O82" s="19" t="inlineStr"/>
    </row>
    <row r="83">
      <c r="A83" s="13" t="inlineStr">
        <is>
          <t>Alça Camiseta</t>
        </is>
      </c>
      <c r="B83" s="14" t="inlineStr">
        <is>
          <t>45x60</t>
        </is>
      </c>
      <c r="C83" s="14" t="inlineStr">
        <is>
          <t>0,05</t>
        </is>
      </c>
      <c r="D83" s="14" t="inlineStr">
        <is>
          <t>900–999</t>
        </is>
      </c>
      <c r="E83" s="14" t="n">
        <v>900</v>
      </c>
      <c r="F83" s="15" t="n">
        <v>0.4617</v>
      </c>
      <c r="G83" s="15" t="n">
        <v>0.2806</v>
      </c>
      <c r="H83" s="15" t="n">
        <v>0.4617</v>
      </c>
      <c r="I83" s="16" t="inlineStr">
        <is>
          <t>Marfel</t>
        </is>
      </c>
      <c r="J83" s="15" t="n">
        <v>0.3</v>
      </c>
      <c r="K83" s="17">
        <f>H83+J83</f>
        <v/>
      </c>
      <c r="L83" s="18" t="n">
        <v>0.48</v>
      </c>
      <c r="M83" s="17">
        <f>K83*(1+L83)</f>
        <v/>
      </c>
      <c r="N83" s="14" t="inlineStr">
        <is>
          <t>já existia</t>
        </is>
      </c>
      <c r="O83" s="19" t="inlineStr"/>
    </row>
    <row r="84">
      <c r="A84" s="13" t="inlineStr">
        <is>
          <t>Alça Camiseta</t>
        </is>
      </c>
      <c r="B84" s="14" t="inlineStr">
        <is>
          <t>45x60</t>
        </is>
      </c>
      <c r="C84" s="14" t="inlineStr">
        <is>
          <t>0,05</t>
        </is>
      </c>
      <c r="D84" s="14" t="inlineStr">
        <is>
          <t>1000+</t>
        </is>
      </c>
      <c r="E84" s="14" t="n">
        <v>1000</v>
      </c>
      <c r="F84" s="15" t="n">
        <v>0.4617</v>
      </c>
      <c r="G84" s="15" t="n">
        <v>0.2806</v>
      </c>
      <c r="H84" s="15" t="n">
        <v>0.4617</v>
      </c>
      <c r="I84" s="16" t="inlineStr">
        <is>
          <t>Marfel</t>
        </is>
      </c>
      <c r="J84" s="15" t="n">
        <v>0.3</v>
      </c>
      <c r="K84" s="17">
        <f>H84+J84</f>
        <v/>
      </c>
      <c r="L84" s="18" t="n">
        <v>0.4</v>
      </c>
      <c r="M84" s="17">
        <f>K84*(1+L84)</f>
        <v/>
      </c>
      <c r="N84" s="14" t="inlineStr">
        <is>
          <t>já existia</t>
        </is>
      </c>
      <c r="O84" s="19" t="inlineStr"/>
    </row>
    <row r="85">
      <c r="A85" s="6" t="inlineStr">
        <is>
          <t>Alça Camiseta</t>
        </is>
      </c>
      <c r="B85" s="7" t="inlineStr">
        <is>
          <t>45x60</t>
        </is>
      </c>
      <c r="C85" s="7" t="inlineStr">
        <is>
          <t>0,06</t>
        </is>
      </c>
      <c r="D85" s="7" t="inlineStr">
        <is>
          <t>100–199</t>
        </is>
      </c>
      <c r="E85" s="7" t="n">
        <v>100</v>
      </c>
      <c r="F85" s="8" t="n">
        <v>0</v>
      </c>
      <c r="G85" s="8" t="n">
        <v>0.322</v>
      </c>
      <c r="H85" s="8" t="n">
        <v>0.322</v>
      </c>
      <c r="I85" s="9" t="inlineStr">
        <is>
          <t>Alquimia (unico)</t>
        </is>
      </c>
      <c r="J85" s="8" t="n">
        <v>0.3</v>
      </c>
      <c r="K85" s="10">
        <f>H85+J85</f>
        <v/>
      </c>
      <c r="L85" s="11" t="n">
        <v>1</v>
      </c>
      <c r="M85" s="10">
        <f>K85*(1+L85)</f>
        <v/>
      </c>
      <c r="N85" s="7" t="inlineStr">
        <is>
          <t>já existia</t>
        </is>
      </c>
      <c r="O85" s="12" t="inlineStr">
        <is>
          <t>Sem custo cadastrado da Marfel para esta gramatura — usado apenas o valor da Alquimia.</t>
        </is>
      </c>
    </row>
    <row r="86">
      <c r="A86" s="6" t="inlineStr">
        <is>
          <t>Alça Camiseta</t>
        </is>
      </c>
      <c r="B86" s="7" t="inlineStr">
        <is>
          <t>45x60</t>
        </is>
      </c>
      <c r="C86" s="7" t="inlineStr">
        <is>
          <t>0,06</t>
        </is>
      </c>
      <c r="D86" s="7" t="inlineStr">
        <is>
          <t>200–299</t>
        </is>
      </c>
      <c r="E86" s="7" t="n">
        <v>200</v>
      </c>
      <c r="F86" s="8" t="n">
        <v>0</v>
      </c>
      <c r="G86" s="8" t="n">
        <v>0.322</v>
      </c>
      <c r="H86" s="8" t="n">
        <v>0.322</v>
      </c>
      <c r="I86" s="9" t="inlineStr">
        <is>
          <t>Alquimia (unico)</t>
        </is>
      </c>
      <c r="J86" s="8" t="n">
        <v>0.3</v>
      </c>
      <c r="K86" s="10">
        <f>H86+J86</f>
        <v/>
      </c>
      <c r="L86" s="11" t="n">
        <v>0.75</v>
      </c>
      <c r="M86" s="10">
        <f>K86*(1+L86)</f>
        <v/>
      </c>
      <c r="N86" s="7" t="inlineStr">
        <is>
          <t>já existia</t>
        </is>
      </c>
      <c r="O86" s="12" t="inlineStr">
        <is>
          <t>Sem custo cadastrado da Marfel para esta gramatura — usado apenas o valor da Alquimia.</t>
        </is>
      </c>
    </row>
    <row r="87">
      <c r="A87" s="6" t="inlineStr">
        <is>
          <t>Alça Camiseta</t>
        </is>
      </c>
      <c r="B87" s="7" t="inlineStr">
        <is>
          <t>45x60</t>
        </is>
      </c>
      <c r="C87" s="7" t="inlineStr">
        <is>
          <t>0,06</t>
        </is>
      </c>
      <c r="D87" s="7" t="inlineStr">
        <is>
          <t>300–399</t>
        </is>
      </c>
      <c r="E87" s="7" t="n">
        <v>300</v>
      </c>
      <c r="F87" s="8" t="n">
        <v>0</v>
      </c>
      <c r="G87" s="8" t="n">
        <v>0.322</v>
      </c>
      <c r="H87" s="8" t="n">
        <v>0.322</v>
      </c>
      <c r="I87" s="9" t="inlineStr">
        <is>
          <t>Alquimia (unico)</t>
        </is>
      </c>
      <c r="J87" s="8" t="n">
        <v>0.3</v>
      </c>
      <c r="K87" s="10">
        <f>H87+J87</f>
        <v/>
      </c>
      <c r="L87" s="11" t="n">
        <v>0.7</v>
      </c>
      <c r="M87" s="10">
        <f>K87*(1+L87)</f>
        <v/>
      </c>
      <c r="N87" s="7" t="inlineStr">
        <is>
          <t>já existia</t>
        </is>
      </c>
      <c r="O87" s="12" t="inlineStr">
        <is>
          <t>Sem custo cadastrado da Marfel para esta gramatura — usado apenas o valor da Alquimia.</t>
        </is>
      </c>
    </row>
    <row r="88">
      <c r="A88" s="6" t="inlineStr">
        <is>
          <t>Alça Camiseta</t>
        </is>
      </c>
      <c r="B88" s="7" t="inlineStr">
        <is>
          <t>45x60</t>
        </is>
      </c>
      <c r="C88" s="7" t="inlineStr">
        <is>
          <t>0,06</t>
        </is>
      </c>
      <c r="D88" s="7" t="inlineStr">
        <is>
          <t>400–499</t>
        </is>
      </c>
      <c r="E88" s="7" t="n">
        <v>400</v>
      </c>
      <c r="F88" s="8" t="n">
        <v>0</v>
      </c>
      <c r="G88" s="8" t="n">
        <v>0.322</v>
      </c>
      <c r="H88" s="8" t="n">
        <v>0.322</v>
      </c>
      <c r="I88" s="9" t="inlineStr">
        <is>
          <t>Alquimia (unico)</t>
        </is>
      </c>
      <c r="J88" s="8" t="n">
        <v>0.3</v>
      </c>
      <c r="K88" s="10">
        <f>H88+J88</f>
        <v/>
      </c>
      <c r="L88" s="11" t="n">
        <v>0.65</v>
      </c>
      <c r="M88" s="10">
        <f>K88*(1+L88)</f>
        <v/>
      </c>
      <c r="N88" s="7" t="inlineStr">
        <is>
          <t>já existia</t>
        </is>
      </c>
      <c r="O88" s="12" t="inlineStr">
        <is>
          <t>Sem custo cadastrado da Marfel para esta gramatura — usado apenas o valor da Alquimia.</t>
        </is>
      </c>
    </row>
    <row r="89">
      <c r="A89" s="6" t="inlineStr">
        <is>
          <t>Alça Camiseta</t>
        </is>
      </c>
      <c r="B89" s="7" t="inlineStr">
        <is>
          <t>45x60</t>
        </is>
      </c>
      <c r="C89" s="7" t="inlineStr">
        <is>
          <t>0,06</t>
        </is>
      </c>
      <c r="D89" s="7" t="inlineStr">
        <is>
          <t>500–599</t>
        </is>
      </c>
      <c r="E89" s="7" t="n">
        <v>500</v>
      </c>
      <c r="F89" s="8" t="n">
        <v>0</v>
      </c>
      <c r="G89" s="8" t="n">
        <v>0.322</v>
      </c>
      <c r="H89" s="8" t="n">
        <v>0.322</v>
      </c>
      <c r="I89" s="9" t="inlineStr">
        <is>
          <t>Alquimia (unico)</t>
        </is>
      </c>
      <c r="J89" s="8" t="n">
        <v>0.3</v>
      </c>
      <c r="K89" s="10">
        <f>H89+J89</f>
        <v/>
      </c>
      <c r="L89" s="11" t="n">
        <v>0.6</v>
      </c>
      <c r="M89" s="10">
        <f>K89*(1+L89)</f>
        <v/>
      </c>
      <c r="N89" s="7" t="inlineStr">
        <is>
          <t>já existia</t>
        </is>
      </c>
      <c r="O89" s="12" t="inlineStr">
        <is>
          <t>Sem custo cadastrado da Marfel para esta gramatura — usado apenas o valor da Alquimia.</t>
        </is>
      </c>
    </row>
    <row r="90">
      <c r="A90" s="6" t="inlineStr">
        <is>
          <t>Alça Camiseta</t>
        </is>
      </c>
      <c r="B90" s="7" t="inlineStr">
        <is>
          <t>45x60</t>
        </is>
      </c>
      <c r="C90" s="7" t="inlineStr">
        <is>
          <t>0,06</t>
        </is>
      </c>
      <c r="D90" s="7" t="inlineStr">
        <is>
          <t>600–699</t>
        </is>
      </c>
      <c r="E90" s="7" t="n">
        <v>600</v>
      </c>
      <c r="F90" s="8" t="n">
        <v>0</v>
      </c>
      <c r="G90" s="8" t="n">
        <v>0.322</v>
      </c>
      <c r="H90" s="8" t="n">
        <v>0.322</v>
      </c>
      <c r="I90" s="9" t="inlineStr">
        <is>
          <t>Alquimia (unico)</t>
        </is>
      </c>
      <c r="J90" s="8" t="n">
        <v>0.3</v>
      </c>
      <c r="K90" s="10">
        <f>H90+J90</f>
        <v/>
      </c>
      <c r="L90" s="11" t="n">
        <v>0.57</v>
      </c>
      <c r="M90" s="10">
        <f>K90*(1+L90)</f>
        <v/>
      </c>
      <c r="N90" s="7" t="inlineStr">
        <is>
          <t>já existia</t>
        </is>
      </c>
      <c r="O90" s="12" t="inlineStr">
        <is>
          <t>Sem custo cadastrado da Marfel para esta gramatura — usado apenas o valor da Alquimia.</t>
        </is>
      </c>
    </row>
    <row r="91">
      <c r="A91" s="6" t="inlineStr">
        <is>
          <t>Alça Camiseta</t>
        </is>
      </c>
      <c r="B91" s="7" t="inlineStr">
        <is>
          <t>45x60</t>
        </is>
      </c>
      <c r="C91" s="7" t="inlineStr">
        <is>
          <t>0,06</t>
        </is>
      </c>
      <c r="D91" s="7" t="inlineStr">
        <is>
          <t>700–799</t>
        </is>
      </c>
      <c r="E91" s="7" t="n">
        <v>700</v>
      </c>
      <c r="F91" s="8" t="n">
        <v>0</v>
      </c>
      <c r="G91" s="8" t="n">
        <v>0.322</v>
      </c>
      <c r="H91" s="8" t="n">
        <v>0.322</v>
      </c>
      <c r="I91" s="9" t="inlineStr">
        <is>
          <t>Alquimia (unico)</t>
        </is>
      </c>
      <c r="J91" s="8" t="n">
        <v>0.3</v>
      </c>
      <c r="K91" s="10">
        <f>H91+J91</f>
        <v/>
      </c>
      <c r="L91" s="11" t="n">
        <v>0.54</v>
      </c>
      <c r="M91" s="10">
        <f>K91*(1+L91)</f>
        <v/>
      </c>
      <c r="N91" s="7" t="inlineStr">
        <is>
          <t>já existia</t>
        </is>
      </c>
      <c r="O91" s="12" t="inlineStr">
        <is>
          <t>Sem custo cadastrado da Marfel para esta gramatura — usado apenas o valor da Alquimia.</t>
        </is>
      </c>
    </row>
    <row r="92">
      <c r="A92" s="6" t="inlineStr">
        <is>
          <t>Alça Camiseta</t>
        </is>
      </c>
      <c r="B92" s="7" t="inlineStr">
        <is>
          <t>45x60</t>
        </is>
      </c>
      <c r="C92" s="7" t="inlineStr">
        <is>
          <t>0,06</t>
        </is>
      </c>
      <c r="D92" s="7" t="inlineStr">
        <is>
          <t>800–899</t>
        </is>
      </c>
      <c r="E92" s="7" t="n">
        <v>800</v>
      </c>
      <c r="F92" s="8" t="n">
        <v>0</v>
      </c>
      <c r="G92" s="8" t="n">
        <v>0.322</v>
      </c>
      <c r="H92" s="8" t="n">
        <v>0.322</v>
      </c>
      <c r="I92" s="9" t="inlineStr">
        <is>
          <t>Alquimia (unico)</t>
        </is>
      </c>
      <c r="J92" s="8" t="n">
        <v>0.3</v>
      </c>
      <c r="K92" s="10">
        <f>H92+J92</f>
        <v/>
      </c>
      <c r="L92" s="11" t="n">
        <v>0.51</v>
      </c>
      <c r="M92" s="10">
        <f>K92*(1+L92)</f>
        <v/>
      </c>
      <c r="N92" s="7" t="inlineStr">
        <is>
          <t>já existia</t>
        </is>
      </c>
      <c r="O92" s="12" t="inlineStr">
        <is>
          <t>Sem custo cadastrado da Marfel para esta gramatura — usado apenas o valor da Alquimia.</t>
        </is>
      </c>
    </row>
    <row r="93">
      <c r="A93" s="6" t="inlineStr">
        <is>
          <t>Alça Camiseta</t>
        </is>
      </c>
      <c r="B93" s="7" t="inlineStr">
        <is>
          <t>45x60</t>
        </is>
      </c>
      <c r="C93" s="7" t="inlineStr">
        <is>
          <t>0,06</t>
        </is>
      </c>
      <c r="D93" s="7" t="inlineStr">
        <is>
          <t>900–999</t>
        </is>
      </c>
      <c r="E93" s="7" t="n">
        <v>900</v>
      </c>
      <c r="F93" s="8" t="n">
        <v>0</v>
      </c>
      <c r="G93" s="8" t="n">
        <v>0.322</v>
      </c>
      <c r="H93" s="8" t="n">
        <v>0.322</v>
      </c>
      <c r="I93" s="9" t="inlineStr">
        <is>
          <t>Alquimia (unico)</t>
        </is>
      </c>
      <c r="J93" s="8" t="n">
        <v>0.3</v>
      </c>
      <c r="K93" s="10">
        <f>H93+J93</f>
        <v/>
      </c>
      <c r="L93" s="11" t="n">
        <v>0.48</v>
      </c>
      <c r="M93" s="10">
        <f>K93*(1+L93)</f>
        <v/>
      </c>
      <c r="N93" s="7" t="inlineStr">
        <is>
          <t>já existia</t>
        </is>
      </c>
      <c r="O93" s="12" t="inlineStr">
        <is>
          <t>Sem custo cadastrado da Marfel para esta gramatura — usado apenas o valor da Alquimia.</t>
        </is>
      </c>
    </row>
    <row r="94">
      <c r="A94" s="6" t="inlineStr">
        <is>
          <t>Alça Camiseta</t>
        </is>
      </c>
      <c r="B94" s="7" t="inlineStr">
        <is>
          <t>45x60</t>
        </is>
      </c>
      <c r="C94" s="7" t="inlineStr">
        <is>
          <t>0,06</t>
        </is>
      </c>
      <c r="D94" s="7" t="inlineStr">
        <is>
          <t>1000+</t>
        </is>
      </c>
      <c r="E94" s="7" t="n">
        <v>1000</v>
      </c>
      <c r="F94" s="8" t="n">
        <v>0</v>
      </c>
      <c r="G94" s="8" t="n">
        <v>0.322</v>
      </c>
      <c r="H94" s="8" t="n">
        <v>0.322</v>
      </c>
      <c r="I94" s="9" t="inlineStr">
        <is>
          <t>Alquimia (unico)</t>
        </is>
      </c>
      <c r="J94" s="8" t="n">
        <v>0.3</v>
      </c>
      <c r="K94" s="10">
        <f>H94+J94</f>
        <v/>
      </c>
      <c r="L94" s="11" t="n">
        <v>0.4</v>
      </c>
      <c r="M94" s="10">
        <f>K94*(1+L94)</f>
        <v/>
      </c>
      <c r="N94" s="7" t="inlineStr">
        <is>
          <t>já existia</t>
        </is>
      </c>
      <c r="O94" s="12" t="inlineStr">
        <is>
          <t>Sem custo cadastrado da Marfel para esta gramatura — usado apenas o valor da Alquimia.</t>
        </is>
      </c>
    </row>
    <row r="95">
      <c r="A95" s="6" t="inlineStr">
        <is>
          <t>Alça Camiseta</t>
        </is>
      </c>
      <c r="B95" s="7" t="inlineStr">
        <is>
          <t>50x60</t>
        </is>
      </c>
      <c r="C95" s="7" t="inlineStr">
        <is>
          <t>0,06</t>
        </is>
      </c>
      <c r="D95" s="7" t="inlineStr">
        <is>
          <t>100–199</t>
        </is>
      </c>
      <c r="E95" s="7" t="n">
        <v>100</v>
      </c>
      <c r="F95" s="8" t="n">
        <v>0.5115</v>
      </c>
      <c r="G95" s="8" t="n">
        <v>0</v>
      </c>
      <c r="H95" s="8" t="n">
        <v>0.5115</v>
      </c>
      <c r="I95" s="9" t="inlineStr">
        <is>
          <t>Marfel (unico)</t>
        </is>
      </c>
      <c r="J95" s="8" t="n">
        <v>0.3</v>
      </c>
      <c r="K95" s="10">
        <f>H95+J95</f>
        <v/>
      </c>
      <c r="L95" s="11" t="n">
        <v>1</v>
      </c>
      <c r="M95" s="10">
        <f>K95*(1+L95)</f>
        <v/>
      </c>
      <c r="N95" s="7" t="inlineStr">
        <is>
          <t>NOVO (Tabela Marfel V01JUN26)</t>
        </is>
      </c>
      <c r="O95" s="12" t="inlineStr">
        <is>
          <t>Sem custo cadastrado da Alquimia para esta gramatura — usado apenas o valor da Marfel.</t>
        </is>
      </c>
    </row>
    <row r="96">
      <c r="A96" s="6" t="inlineStr">
        <is>
          <t>Alça Camiseta</t>
        </is>
      </c>
      <c r="B96" s="7" t="inlineStr">
        <is>
          <t>50x60</t>
        </is>
      </c>
      <c r="C96" s="7" t="inlineStr">
        <is>
          <t>0,06</t>
        </is>
      </c>
      <c r="D96" s="7" t="inlineStr">
        <is>
          <t>200–299</t>
        </is>
      </c>
      <c r="E96" s="7" t="n">
        <v>200</v>
      </c>
      <c r="F96" s="8" t="n">
        <v>0.5115</v>
      </c>
      <c r="G96" s="8" t="n">
        <v>0</v>
      </c>
      <c r="H96" s="8" t="n">
        <v>0.5115</v>
      </c>
      <c r="I96" s="9" t="inlineStr">
        <is>
          <t>Marfel (unico)</t>
        </is>
      </c>
      <c r="J96" s="8" t="n">
        <v>0.3</v>
      </c>
      <c r="K96" s="10">
        <f>H96+J96</f>
        <v/>
      </c>
      <c r="L96" s="11" t="n">
        <v>0.75</v>
      </c>
      <c r="M96" s="10">
        <f>K96*(1+L96)</f>
        <v/>
      </c>
      <c r="N96" s="7" t="inlineStr">
        <is>
          <t>NOVO (Tabela Marfel V01JUN26)</t>
        </is>
      </c>
      <c r="O96" s="12" t="inlineStr">
        <is>
          <t>Sem custo cadastrado da Alquimia para esta gramatura — usado apenas o valor da Marfel.</t>
        </is>
      </c>
    </row>
    <row r="97">
      <c r="A97" s="6" t="inlineStr">
        <is>
          <t>Alça Camiseta</t>
        </is>
      </c>
      <c r="B97" s="7" t="inlineStr">
        <is>
          <t>50x60</t>
        </is>
      </c>
      <c r="C97" s="7" t="inlineStr">
        <is>
          <t>0,06</t>
        </is>
      </c>
      <c r="D97" s="7" t="inlineStr">
        <is>
          <t>300–399</t>
        </is>
      </c>
      <c r="E97" s="7" t="n">
        <v>300</v>
      </c>
      <c r="F97" s="8" t="n">
        <v>0.5115</v>
      </c>
      <c r="G97" s="8" t="n">
        <v>0</v>
      </c>
      <c r="H97" s="8" t="n">
        <v>0.5115</v>
      </c>
      <c r="I97" s="9" t="inlineStr">
        <is>
          <t>Marfel (unico)</t>
        </is>
      </c>
      <c r="J97" s="8" t="n">
        <v>0.3</v>
      </c>
      <c r="K97" s="10">
        <f>H97+J97</f>
        <v/>
      </c>
      <c r="L97" s="11" t="n">
        <v>0.7</v>
      </c>
      <c r="M97" s="10">
        <f>K97*(1+L97)</f>
        <v/>
      </c>
      <c r="N97" s="7" t="inlineStr">
        <is>
          <t>NOVO (Tabela Marfel V01JUN26)</t>
        </is>
      </c>
      <c r="O97" s="12" t="inlineStr">
        <is>
          <t>Sem custo cadastrado da Alquimia para esta gramatura — usado apenas o valor da Marfel.</t>
        </is>
      </c>
    </row>
    <row r="98">
      <c r="A98" s="6" t="inlineStr">
        <is>
          <t>Alça Camiseta</t>
        </is>
      </c>
      <c r="B98" s="7" t="inlineStr">
        <is>
          <t>50x60</t>
        </is>
      </c>
      <c r="C98" s="7" t="inlineStr">
        <is>
          <t>0,06</t>
        </is>
      </c>
      <c r="D98" s="7" t="inlineStr">
        <is>
          <t>400–499</t>
        </is>
      </c>
      <c r="E98" s="7" t="n">
        <v>400</v>
      </c>
      <c r="F98" s="8" t="n">
        <v>0.5115</v>
      </c>
      <c r="G98" s="8" t="n">
        <v>0</v>
      </c>
      <c r="H98" s="8" t="n">
        <v>0.5115</v>
      </c>
      <c r="I98" s="9" t="inlineStr">
        <is>
          <t>Marfel (unico)</t>
        </is>
      </c>
      <c r="J98" s="8" t="n">
        <v>0.3</v>
      </c>
      <c r="K98" s="10">
        <f>H98+J98</f>
        <v/>
      </c>
      <c r="L98" s="11" t="n">
        <v>0.65</v>
      </c>
      <c r="M98" s="10">
        <f>K98*(1+L98)</f>
        <v/>
      </c>
      <c r="N98" s="7" t="inlineStr">
        <is>
          <t>NOVO (Tabela Marfel V01JUN26)</t>
        </is>
      </c>
      <c r="O98" s="12" t="inlineStr">
        <is>
          <t>Sem custo cadastrado da Alquimia para esta gramatura — usado apenas o valor da Marfel.</t>
        </is>
      </c>
    </row>
    <row r="99">
      <c r="A99" s="6" t="inlineStr">
        <is>
          <t>Alça Camiseta</t>
        </is>
      </c>
      <c r="B99" s="7" t="inlineStr">
        <is>
          <t>50x60</t>
        </is>
      </c>
      <c r="C99" s="7" t="inlineStr">
        <is>
          <t>0,06</t>
        </is>
      </c>
      <c r="D99" s="7" t="inlineStr">
        <is>
          <t>500–599</t>
        </is>
      </c>
      <c r="E99" s="7" t="n">
        <v>500</v>
      </c>
      <c r="F99" s="8" t="n">
        <v>0.5115</v>
      </c>
      <c r="G99" s="8" t="n">
        <v>0</v>
      </c>
      <c r="H99" s="8" t="n">
        <v>0.5115</v>
      </c>
      <c r="I99" s="9" t="inlineStr">
        <is>
          <t>Marfel (unico)</t>
        </is>
      </c>
      <c r="J99" s="8" t="n">
        <v>0.3</v>
      </c>
      <c r="K99" s="10">
        <f>H99+J99</f>
        <v/>
      </c>
      <c r="L99" s="11" t="n">
        <v>0.6</v>
      </c>
      <c r="M99" s="10">
        <f>K99*(1+L99)</f>
        <v/>
      </c>
      <c r="N99" s="7" t="inlineStr">
        <is>
          <t>NOVO (Tabela Marfel V01JUN26)</t>
        </is>
      </c>
      <c r="O99" s="12" t="inlineStr">
        <is>
          <t>Sem custo cadastrado da Alquimia para esta gramatura — usado apenas o valor da Marfel.</t>
        </is>
      </c>
    </row>
    <row r="100">
      <c r="A100" s="6" t="inlineStr">
        <is>
          <t>Alça Camiseta</t>
        </is>
      </c>
      <c r="B100" s="7" t="inlineStr">
        <is>
          <t>50x60</t>
        </is>
      </c>
      <c r="C100" s="7" t="inlineStr">
        <is>
          <t>0,06</t>
        </is>
      </c>
      <c r="D100" s="7" t="inlineStr">
        <is>
          <t>600–699</t>
        </is>
      </c>
      <c r="E100" s="7" t="n">
        <v>600</v>
      </c>
      <c r="F100" s="8" t="n">
        <v>0.5115</v>
      </c>
      <c r="G100" s="8" t="n">
        <v>0</v>
      </c>
      <c r="H100" s="8" t="n">
        <v>0.5115</v>
      </c>
      <c r="I100" s="9" t="inlineStr">
        <is>
          <t>Marfel (unico)</t>
        </is>
      </c>
      <c r="J100" s="8" t="n">
        <v>0.3</v>
      </c>
      <c r="K100" s="10">
        <f>H100+J100</f>
        <v/>
      </c>
      <c r="L100" s="11" t="n">
        <v>0.57</v>
      </c>
      <c r="M100" s="10">
        <f>K100*(1+L100)</f>
        <v/>
      </c>
      <c r="N100" s="7" t="inlineStr">
        <is>
          <t>NOVO (Tabela Marfel V01JUN26)</t>
        </is>
      </c>
      <c r="O100" s="12" t="inlineStr">
        <is>
          <t>Sem custo cadastrado da Alquimia para esta gramatura — usado apenas o valor da Marfel.</t>
        </is>
      </c>
    </row>
    <row r="101">
      <c r="A101" s="6" t="inlineStr">
        <is>
          <t>Alça Camiseta</t>
        </is>
      </c>
      <c r="B101" s="7" t="inlineStr">
        <is>
          <t>50x60</t>
        </is>
      </c>
      <c r="C101" s="7" t="inlineStr">
        <is>
          <t>0,06</t>
        </is>
      </c>
      <c r="D101" s="7" t="inlineStr">
        <is>
          <t>700–799</t>
        </is>
      </c>
      <c r="E101" s="7" t="n">
        <v>700</v>
      </c>
      <c r="F101" s="8" t="n">
        <v>0.5115</v>
      </c>
      <c r="G101" s="8" t="n">
        <v>0</v>
      </c>
      <c r="H101" s="8" t="n">
        <v>0.5115</v>
      </c>
      <c r="I101" s="9" t="inlineStr">
        <is>
          <t>Marfel (unico)</t>
        </is>
      </c>
      <c r="J101" s="8" t="n">
        <v>0.3</v>
      </c>
      <c r="K101" s="10">
        <f>H101+J101</f>
        <v/>
      </c>
      <c r="L101" s="11" t="n">
        <v>0.54</v>
      </c>
      <c r="M101" s="10">
        <f>K101*(1+L101)</f>
        <v/>
      </c>
      <c r="N101" s="7" t="inlineStr">
        <is>
          <t>NOVO (Tabela Marfel V01JUN26)</t>
        </is>
      </c>
      <c r="O101" s="12" t="inlineStr">
        <is>
          <t>Sem custo cadastrado da Alquimia para esta gramatura — usado apenas o valor da Marfel.</t>
        </is>
      </c>
    </row>
    <row r="102">
      <c r="A102" s="6" t="inlineStr">
        <is>
          <t>Alça Camiseta</t>
        </is>
      </c>
      <c r="B102" s="7" t="inlineStr">
        <is>
          <t>50x60</t>
        </is>
      </c>
      <c r="C102" s="7" t="inlineStr">
        <is>
          <t>0,06</t>
        </is>
      </c>
      <c r="D102" s="7" t="inlineStr">
        <is>
          <t>800–899</t>
        </is>
      </c>
      <c r="E102" s="7" t="n">
        <v>800</v>
      </c>
      <c r="F102" s="8" t="n">
        <v>0.5115</v>
      </c>
      <c r="G102" s="8" t="n">
        <v>0</v>
      </c>
      <c r="H102" s="8" t="n">
        <v>0.5115</v>
      </c>
      <c r="I102" s="9" t="inlineStr">
        <is>
          <t>Marfel (unico)</t>
        </is>
      </c>
      <c r="J102" s="8" t="n">
        <v>0.3</v>
      </c>
      <c r="K102" s="10">
        <f>H102+J102</f>
        <v/>
      </c>
      <c r="L102" s="11" t="n">
        <v>0.51</v>
      </c>
      <c r="M102" s="10">
        <f>K102*(1+L102)</f>
        <v/>
      </c>
      <c r="N102" s="7" t="inlineStr">
        <is>
          <t>NOVO (Tabela Marfel V01JUN26)</t>
        </is>
      </c>
      <c r="O102" s="12" t="inlineStr">
        <is>
          <t>Sem custo cadastrado da Alquimia para esta gramatura — usado apenas o valor da Marfel.</t>
        </is>
      </c>
    </row>
    <row r="103">
      <c r="A103" s="6" t="inlineStr">
        <is>
          <t>Alça Camiseta</t>
        </is>
      </c>
      <c r="B103" s="7" t="inlineStr">
        <is>
          <t>50x60</t>
        </is>
      </c>
      <c r="C103" s="7" t="inlineStr">
        <is>
          <t>0,06</t>
        </is>
      </c>
      <c r="D103" s="7" t="inlineStr">
        <is>
          <t>900–999</t>
        </is>
      </c>
      <c r="E103" s="7" t="n">
        <v>900</v>
      </c>
      <c r="F103" s="8" t="n">
        <v>0.5115</v>
      </c>
      <c r="G103" s="8" t="n">
        <v>0</v>
      </c>
      <c r="H103" s="8" t="n">
        <v>0.5115</v>
      </c>
      <c r="I103" s="9" t="inlineStr">
        <is>
          <t>Marfel (unico)</t>
        </is>
      </c>
      <c r="J103" s="8" t="n">
        <v>0.3</v>
      </c>
      <c r="K103" s="10">
        <f>H103+J103</f>
        <v/>
      </c>
      <c r="L103" s="11" t="n">
        <v>0.48</v>
      </c>
      <c r="M103" s="10">
        <f>K103*(1+L103)</f>
        <v/>
      </c>
      <c r="N103" s="7" t="inlineStr">
        <is>
          <t>NOVO (Tabela Marfel V01JUN26)</t>
        </is>
      </c>
      <c r="O103" s="12" t="inlineStr">
        <is>
          <t>Sem custo cadastrado da Alquimia para esta gramatura — usado apenas o valor da Marfel.</t>
        </is>
      </c>
    </row>
    <row r="104">
      <c r="A104" s="6" t="inlineStr">
        <is>
          <t>Alça Camiseta</t>
        </is>
      </c>
      <c r="B104" s="7" t="inlineStr">
        <is>
          <t>50x60</t>
        </is>
      </c>
      <c r="C104" s="7" t="inlineStr">
        <is>
          <t>0,06</t>
        </is>
      </c>
      <c r="D104" s="7" t="inlineStr">
        <is>
          <t>1000+</t>
        </is>
      </c>
      <c r="E104" s="7" t="n">
        <v>1000</v>
      </c>
      <c r="F104" s="8" t="n">
        <v>0.5115</v>
      </c>
      <c r="G104" s="8" t="n">
        <v>0</v>
      </c>
      <c r="H104" s="8" t="n">
        <v>0.5115</v>
      </c>
      <c r="I104" s="9" t="inlineStr">
        <is>
          <t>Marfel (unico)</t>
        </is>
      </c>
      <c r="J104" s="8" t="n">
        <v>0.3</v>
      </c>
      <c r="K104" s="10">
        <f>H104+J104</f>
        <v/>
      </c>
      <c r="L104" s="11" t="n">
        <v>0.4</v>
      </c>
      <c r="M104" s="10">
        <f>K104*(1+L104)</f>
        <v/>
      </c>
      <c r="N104" s="7" t="inlineStr">
        <is>
          <t>NOVO (Tabela Marfel V01JUN26)</t>
        </is>
      </c>
      <c r="O104" s="12" t="inlineStr">
        <is>
          <t>Sem custo cadastrado da Alquimia para esta gramatura — usado apenas o valor da Marfel.</t>
        </is>
      </c>
    </row>
    <row r="105">
      <c r="A105" s="13" t="inlineStr">
        <is>
          <t>Alça Camiseta</t>
        </is>
      </c>
      <c r="B105" s="14" t="inlineStr">
        <is>
          <t>50x70</t>
        </is>
      </c>
      <c r="C105" s="14" t="inlineStr">
        <is>
          <t>0,06</t>
        </is>
      </c>
      <c r="D105" s="14" t="inlineStr">
        <is>
          <t>100–199</t>
        </is>
      </c>
      <c r="E105" s="14" t="n">
        <v>100</v>
      </c>
      <c r="F105" s="15" t="n">
        <v>0.6498</v>
      </c>
      <c r="G105" s="15" t="n">
        <v>0.4347</v>
      </c>
      <c r="H105" s="15" t="n">
        <v>0.6498</v>
      </c>
      <c r="I105" s="16" t="inlineStr">
        <is>
          <t>Marfel</t>
        </is>
      </c>
      <c r="J105" s="15" t="n">
        <v>0.3</v>
      </c>
      <c r="K105" s="17">
        <f>H105+J105</f>
        <v/>
      </c>
      <c r="L105" s="18" t="n">
        <v>1</v>
      </c>
      <c r="M105" s="17">
        <f>K105*(1+L105)</f>
        <v/>
      </c>
      <c r="N105" s="14" t="inlineStr">
        <is>
          <t>já existia</t>
        </is>
      </c>
      <c r="O105" s="19" t="inlineStr"/>
    </row>
    <row r="106">
      <c r="A106" s="13" t="inlineStr">
        <is>
          <t>Alça Camiseta</t>
        </is>
      </c>
      <c r="B106" s="14" t="inlineStr">
        <is>
          <t>50x70</t>
        </is>
      </c>
      <c r="C106" s="14" t="inlineStr">
        <is>
          <t>0,06</t>
        </is>
      </c>
      <c r="D106" s="14" t="inlineStr">
        <is>
          <t>200–299</t>
        </is>
      </c>
      <c r="E106" s="14" t="n">
        <v>200</v>
      </c>
      <c r="F106" s="15" t="n">
        <v>0.6498</v>
      </c>
      <c r="G106" s="15" t="n">
        <v>0.4347</v>
      </c>
      <c r="H106" s="15" t="n">
        <v>0.6498</v>
      </c>
      <c r="I106" s="16" t="inlineStr">
        <is>
          <t>Marfel</t>
        </is>
      </c>
      <c r="J106" s="15" t="n">
        <v>0.3</v>
      </c>
      <c r="K106" s="17">
        <f>H106+J106</f>
        <v/>
      </c>
      <c r="L106" s="18" t="n">
        <v>0.75</v>
      </c>
      <c r="M106" s="17">
        <f>K106*(1+L106)</f>
        <v/>
      </c>
      <c r="N106" s="14" t="inlineStr">
        <is>
          <t>já existia</t>
        </is>
      </c>
      <c r="O106" s="19" t="inlineStr"/>
    </row>
    <row r="107">
      <c r="A107" s="13" t="inlineStr">
        <is>
          <t>Alça Camiseta</t>
        </is>
      </c>
      <c r="B107" s="14" t="inlineStr">
        <is>
          <t>50x70</t>
        </is>
      </c>
      <c r="C107" s="14" t="inlineStr">
        <is>
          <t>0,06</t>
        </is>
      </c>
      <c r="D107" s="14" t="inlineStr">
        <is>
          <t>300–399</t>
        </is>
      </c>
      <c r="E107" s="14" t="n">
        <v>300</v>
      </c>
      <c r="F107" s="15" t="n">
        <v>0.6498</v>
      </c>
      <c r="G107" s="15" t="n">
        <v>0.4347</v>
      </c>
      <c r="H107" s="15" t="n">
        <v>0.6498</v>
      </c>
      <c r="I107" s="16" t="inlineStr">
        <is>
          <t>Marfel</t>
        </is>
      </c>
      <c r="J107" s="15" t="n">
        <v>0.3</v>
      </c>
      <c r="K107" s="17">
        <f>H107+J107</f>
        <v/>
      </c>
      <c r="L107" s="18" t="n">
        <v>0.7</v>
      </c>
      <c r="M107" s="17">
        <f>K107*(1+L107)</f>
        <v/>
      </c>
      <c r="N107" s="14" t="inlineStr">
        <is>
          <t>já existia</t>
        </is>
      </c>
      <c r="O107" s="19" t="inlineStr"/>
    </row>
    <row r="108">
      <c r="A108" s="13" t="inlineStr">
        <is>
          <t>Alça Camiseta</t>
        </is>
      </c>
      <c r="B108" s="14" t="inlineStr">
        <is>
          <t>50x70</t>
        </is>
      </c>
      <c r="C108" s="14" t="inlineStr">
        <is>
          <t>0,06</t>
        </is>
      </c>
      <c r="D108" s="14" t="inlineStr">
        <is>
          <t>400–499</t>
        </is>
      </c>
      <c r="E108" s="14" t="n">
        <v>400</v>
      </c>
      <c r="F108" s="15" t="n">
        <v>0.6498</v>
      </c>
      <c r="G108" s="15" t="n">
        <v>0.4347</v>
      </c>
      <c r="H108" s="15" t="n">
        <v>0.6498</v>
      </c>
      <c r="I108" s="16" t="inlineStr">
        <is>
          <t>Marfel</t>
        </is>
      </c>
      <c r="J108" s="15" t="n">
        <v>0.3</v>
      </c>
      <c r="K108" s="17">
        <f>H108+J108</f>
        <v/>
      </c>
      <c r="L108" s="18" t="n">
        <v>0.65</v>
      </c>
      <c r="M108" s="17">
        <f>K108*(1+L108)</f>
        <v/>
      </c>
      <c r="N108" s="14" t="inlineStr">
        <is>
          <t>já existia</t>
        </is>
      </c>
      <c r="O108" s="19" t="inlineStr"/>
    </row>
    <row r="109">
      <c r="A109" s="13" t="inlineStr">
        <is>
          <t>Alça Camiseta</t>
        </is>
      </c>
      <c r="B109" s="14" t="inlineStr">
        <is>
          <t>50x70</t>
        </is>
      </c>
      <c r="C109" s="14" t="inlineStr">
        <is>
          <t>0,06</t>
        </is>
      </c>
      <c r="D109" s="14" t="inlineStr">
        <is>
          <t>500–599</t>
        </is>
      </c>
      <c r="E109" s="14" t="n">
        <v>500</v>
      </c>
      <c r="F109" s="15" t="n">
        <v>0.6498</v>
      </c>
      <c r="G109" s="15" t="n">
        <v>0.4347</v>
      </c>
      <c r="H109" s="15" t="n">
        <v>0.6498</v>
      </c>
      <c r="I109" s="16" t="inlineStr">
        <is>
          <t>Marfel</t>
        </is>
      </c>
      <c r="J109" s="15" t="n">
        <v>0.3</v>
      </c>
      <c r="K109" s="17">
        <f>H109+J109</f>
        <v/>
      </c>
      <c r="L109" s="18" t="n">
        <v>0.6</v>
      </c>
      <c r="M109" s="17">
        <f>K109*(1+L109)</f>
        <v/>
      </c>
      <c r="N109" s="14" t="inlineStr">
        <is>
          <t>já existia</t>
        </is>
      </c>
      <c r="O109" s="19" t="inlineStr"/>
    </row>
    <row r="110">
      <c r="A110" s="13" t="inlineStr">
        <is>
          <t>Alça Camiseta</t>
        </is>
      </c>
      <c r="B110" s="14" t="inlineStr">
        <is>
          <t>50x70</t>
        </is>
      </c>
      <c r="C110" s="14" t="inlineStr">
        <is>
          <t>0,06</t>
        </is>
      </c>
      <c r="D110" s="14" t="inlineStr">
        <is>
          <t>600–699</t>
        </is>
      </c>
      <c r="E110" s="14" t="n">
        <v>600</v>
      </c>
      <c r="F110" s="15" t="n">
        <v>0.6498</v>
      </c>
      <c r="G110" s="15" t="n">
        <v>0.4347</v>
      </c>
      <c r="H110" s="15" t="n">
        <v>0.6498</v>
      </c>
      <c r="I110" s="16" t="inlineStr">
        <is>
          <t>Marfel</t>
        </is>
      </c>
      <c r="J110" s="15" t="n">
        <v>0.3</v>
      </c>
      <c r="K110" s="17">
        <f>H110+J110</f>
        <v/>
      </c>
      <c r="L110" s="18" t="n">
        <v>0.57</v>
      </c>
      <c r="M110" s="17">
        <f>K110*(1+L110)</f>
        <v/>
      </c>
      <c r="N110" s="14" t="inlineStr">
        <is>
          <t>já existia</t>
        </is>
      </c>
      <c r="O110" s="19" t="inlineStr"/>
    </row>
    <row r="111">
      <c r="A111" s="13" t="inlineStr">
        <is>
          <t>Alça Camiseta</t>
        </is>
      </c>
      <c r="B111" s="14" t="inlineStr">
        <is>
          <t>50x70</t>
        </is>
      </c>
      <c r="C111" s="14" t="inlineStr">
        <is>
          <t>0,06</t>
        </is>
      </c>
      <c r="D111" s="14" t="inlineStr">
        <is>
          <t>700–799</t>
        </is>
      </c>
      <c r="E111" s="14" t="n">
        <v>700</v>
      </c>
      <c r="F111" s="15" t="n">
        <v>0.6498</v>
      </c>
      <c r="G111" s="15" t="n">
        <v>0.4347</v>
      </c>
      <c r="H111" s="15" t="n">
        <v>0.6498</v>
      </c>
      <c r="I111" s="16" t="inlineStr">
        <is>
          <t>Marfel</t>
        </is>
      </c>
      <c r="J111" s="15" t="n">
        <v>0.3</v>
      </c>
      <c r="K111" s="17">
        <f>H111+J111</f>
        <v/>
      </c>
      <c r="L111" s="18" t="n">
        <v>0.54</v>
      </c>
      <c r="M111" s="17">
        <f>K111*(1+L111)</f>
        <v/>
      </c>
      <c r="N111" s="14" t="inlineStr">
        <is>
          <t>já existia</t>
        </is>
      </c>
      <c r="O111" s="19" t="inlineStr"/>
    </row>
    <row r="112">
      <c r="A112" s="13" t="inlineStr">
        <is>
          <t>Alça Camiseta</t>
        </is>
      </c>
      <c r="B112" s="14" t="inlineStr">
        <is>
          <t>50x70</t>
        </is>
      </c>
      <c r="C112" s="14" t="inlineStr">
        <is>
          <t>0,06</t>
        </is>
      </c>
      <c r="D112" s="14" t="inlineStr">
        <is>
          <t>800–899</t>
        </is>
      </c>
      <c r="E112" s="14" t="n">
        <v>800</v>
      </c>
      <c r="F112" s="15" t="n">
        <v>0.6498</v>
      </c>
      <c r="G112" s="15" t="n">
        <v>0.4347</v>
      </c>
      <c r="H112" s="15" t="n">
        <v>0.6498</v>
      </c>
      <c r="I112" s="16" t="inlineStr">
        <is>
          <t>Marfel</t>
        </is>
      </c>
      <c r="J112" s="15" t="n">
        <v>0.3</v>
      </c>
      <c r="K112" s="17">
        <f>H112+J112</f>
        <v/>
      </c>
      <c r="L112" s="18" t="n">
        <v>0.51</v>
      </c>
      <c r="M112" s="17">
        <f>K112*(1+L112)</f>
        <v/>
      </c>
      <c r="N112" s="14" t="inlineStr">
        <is>
          <t>já existia</t>
        </is>
      </c>
      <c r="O112" s="19" t="inlineStr"/>
    </row>
    <row r="113">
      <c r="A113" s="13" t="inlineStr">
        <is>
          <t>Alça Camiseta</t>
        </is>
      </c>
      <c r="B113" s="14" t="inlineStr">
        <is>
          <t>50x70</t>
        </is>
      </c>
      <c r="C113" s="14" t="inlineStr">
        <is>
          <t>0,06</t>
        </is>
      </c>
      <c r="D113" s="14" t="inlineStr">
        <is>
          <t>900–999</t>
        </is>
      </c>
      <c r="E113" s="14" t="n">
        <v>900</v>
      </c>
      <c r="F113" s="15" t="n">
        <v>0.6498</v>
      </c>
      <c r="G113" s="15" t="n">
        <v>0.4347</v>
      </c>
      <c r="H113" s="15" t="n">
        <v>0.6498</v>
      </c>
      <c r="I113" s="16" t="inlineStr">
        <is>
          <t>Marfel</t>
        </is>
      </c>
      <c r="J113" s="15" t="n">
        <v>0.3</v>
      </c>
      <c r="K113" s="17">
        <f>H113+J113</f>
        <v/>
      </c>
      <c r="L113" s="18" t="n">
        <v>0.48</v>
      </c>
      <c r="M113" s="17">
        <f>K113*(1+L113)</f>
        <v/>
      </c>
      <c r="N113" s="14" t="inlineStr">
        <is>
          <t>já existia</t>
        </is>
      </c>
      <c r="O113" s="19" t="inlineStr"/>
    </row>
    <row r="114">
      <c r="A114" s="13" t="inlineStr">
        <is>
          <t>Alça Camiseta</t>
        </is>
      </c>
      <c r="B114" s="14" t="inlineStr">
        <is>
          <t>50x70</t>
        </is>
      </c>
      <c r="C114" s="14" t="inlineStr">
        <is>
          <t>0,06</t>
        </is>
      </c>
      <c r="D114" s="14" t="inlineStr">
        <is>
          <t>1000+</t>
        </is>
      </c>
      <c r="E114" s="14" t="n">
        <v>1000</v>
      </c>
      <c r="F114" s="15" t="n">
        <v>0.6498</v>
      </c>
      <c r="G114" s="15" t="n">
        <v>0.4347</v>
      </c>
      <c r="H114" s="15" t="n">
        <v>0.6498</v>
      </c>
      <c r="I114" s="16" t="inlineStr">
        <is>
          <t>Marfel</t>
        </is>
      </c>
      <c r="J114" s="15" t="n">
        <v>0.3</v>
      </c>
      <c r="K114" s="17">
        <f>H114+J114</f>
        <v/>
      </c>
      <c r="L114" s="18" t="n">
        <v>0.4</v>
      </c>
      <c r="M114" s="17">
        <f>K114*(1+L114)</f>
        <v/>
      </c>
      <c r="N114" s="14" t="inlineStr">
        <is>
          <t>já existia</t>
        </is>
      </c>
      <c r="O114" s="19" t="inlineStr"/>
    </row>
    <row r="115">
      <c r="A115" s="6" t="inlineStr">
        <is>
          <t>Alça Camiseta</t>
        </is>
      </c>
      <c r="B115" s="7" t="inlineStr">
        <is>
          <t>60x80</t>
        </is>
      </c>
      <c r="C115" s="7" t="inlineStr">
        <is>
          <t>0,06</t>
        </is>
      </c>
      <c r="D115" s="7" t="inlineStr">
        <is>
          <t>100–199</t>
        </is>
      </c>
      <c r="E115" s="7" t="n">
        <v>100</v>
      </c>
      <c r="F115" s="8" t="n">
        <v>0.9576</v>
      </c>
      <c r="G115" s="8" t="n">
        <v>0</v>
      </c>
      <c r="H115" s="8" t="n">
        <v>0.9576</v>
      </c>
      <c r="I115" s="9" t="inlineStr">
        <is>
          <t>Marfel (unico)</t>
        </is>
      </c>
      <c r="J115" s="8" t="n">
        <v>0.3</v>
      </c>
      <c r="K115" s="10">
        <f>H115+J115</f>
        <v/>
      </c>
      <c r="L115" s="11" t="n">
        <v>1</v>
      </c>
      <c r="M115" s="10">
        <f>K115*(1+L115)</f>
        <v/>
      </c>
      <c r="N115" s="7" t="inlineStr">
        <is>
          <t>já existia</t>
        </is>
      </c>
      <c r="O115" s="12" t="inlineStr">
        <is>
          <t>Sem custo cadastrado da Alquimia para esta gramatura — usado apenas o valor da Marfel.</t>
        </is>
      </c>
    </row>
    <row r="116">
      <c r="A116" s="6" t="inlineStr">
        <is>
          <t>Alça Camiseta</t>
        </is>
      </c>
      <c r="B116" s="7" t="inlineStr">
        <is>
          <t>60x80</t>
        </is>
      </c>
      <c r="C116" s="7" t="inlineStr">
        <is>
          <t>0,06</t>
        </is>
      </c>
      <c r="D116" s="7" t="inlineStr">
        <is>
          <t>200–299</t>
        </is>
      </c>
      <c r="E116" s="7" t="n">
        <v>200</v>
      </c>
      <c r="F116" s="8" t="n">
        <v>0.9576</v>
      </c>
      <c r="G116" s="8" t="n">
        <v>0</v>
      </c>
      <c r="H116" s="8" t="n">
        <v>0.9576</v>
      </c>
      <c r="I116" s="9" t="inlineStr">
        <is>
          <t>Marfel (unico)</t>
        </is>
      </c>
      <c r="J116" s="8" t="n">
        <v>0.3</v>
      </c>
      <c r="K116" s="10">
        <f>H116+J116</f>
        <v/>
      </c>
      <c r="L116" s="11" t="n">
        <v>0.75</v>
      </c>
      <c r="M116" s="10">
        <f>K116*(1+L116)</f>
        <v/>
      </c>
      <c r="N116" s="7" t="inlineStr">
        <is>
          <t>já existia</t>
        </is>
      </c>
      <c r="O116" s="12" t="inlineStr">
        <is>
          <t>Sem custo cadastrado da Alquimia para esta gramatura — usado apenas o valor da Marfel.</t>
        </is>
      </c>
    </row>
    <row r="117">
      <c r="A117" s="6" t="inlineStr">
        <is>
          <t>Alça Camiseta</t>
        </is>
      </c>
      <c r="B117" s="7" t="inlineStr">
        <is>
          <t>60x80</t>
        </is>
      </c>
      <c r="C117" s="7" t="inlineStr">
        <is>
          <t>0,06</t>
        </is>
      </c>
      <c r="D117" s="7" t="inlineStr">
        <is>
          <t>300–399</t>
        </is>
      </c>
      <c r="E117" s="7" t="n">
        <v>300</v>
      </c>
      <c r="F117" s="8" t="n">
        <v>0.9576</v>
      </c>
      <c r="G117" s="8" t="n">
        <v>0</v>
      </c>
      <c r="H117" s="8" t="n">
        <v>0.9576</v>
      </c>
      <c r="I117" s="9" t="inlineStr">
        <is>
          <t>Marfel (unico)</t>
        </is>
      </c>
      <c r="J117" s="8" t="n">
        <v>0.3</v>
      </c>
      <c r="K117" s="10">
        <f>H117+J117</f>
        <v/>
      </c>
      <c r="L117" s="11" t="n">
        <v>0.7</v>
      </c>
      <c r="M117" s="10">
        <f>K117*(1+L117)</f>
        <v/>
      </c>
      <c r="N117" s="7" t="inlineStr">
        <is>
          <t>já existia</t>
        </is>
      </c>
      <c r="O117" s="12" t="inlineStr">
        <is>
          <t>Sem custo cadastrado da Alquimia para esta gramatura — usado apenas o valor da Marfel.</t>
        </is>
      </c>
    </row>
    <row r="118">
      <c r="A118" s="6" t="inlineStr">
        <is>
          <t>Alça Camiseta</t>
        </is>
      </c>
      <c r="B118" s="7" t="inlineStr">
        <is>
          <t>60x80</t>
        </is>
      </c>
      <c r="C118" s="7" t="inlineStr">
        <is>
          <t>0,06</t>
        </is>
      </c>
      <c r="D118" s="7" t="inlineStr">
        <is>
          <t>400–499</t>
        </is>
      </c>
      <c r="E118" s="7" t="n">
        <v>400</v>
      </c>
      <c r="F118" s="8" t="n">
        <v>0.9576</v>
      </c>
      <c r="G118" s="8" t="n">
        <v>0</v>
      </c>
      <c r="H118" s="8" t="n">
        <v>0.9576</v>
      </c>
      <c r="I118" s="9" t="inlineStr">
        <is>
          <t>Marfel (unico)</t>
        </is>
      </c>
      <c r="J118" s="8" t="n">
        <v>0.3</v>
      </c>
      <c r="K118" s="10">
        <f>H118+J118</f>
        <v/>
      </c>
      <c r="L118" s="11" t="n">
        <v>0.65</v>
      </c>
      <c r="M118" s="10">
        <f>K118*(1+L118)</f>
        <v/>
      </c>
      <c r="N118" s="7" t="inlineStr">
        <is>
          <t>já existia</t>
        </is>
      </c>
      <c r="O118" s="12" t="inlineStr">
        <is>
          <t>Sem custo cadastrado da Alquimia para esta gramatura — usado apenas o valor da Marfel.</t>
        </is>
      </c>
    </row>
    <row r="119">
      <c r="A119" s="6" t="inlineStr">
        <is>
          <t>Alça Camiseta</t>
        </is>
      </c>
      <c r="B119" s="7" t="inlineStr">
        <is>
          <t>60x80</t>
        </is>
      </c>
      <c r="C119" s="7" t="inlineStr">
        <is>
          <t>0,06</t>
        </is>
      </c>
      <c r="D119" s="7" t="inlineStr">
        <is>
          <t>500–599</t>
        </is>
      </c>
      <c r="E119" s="7" t="n">
        <v>500</v>
      </c>
      <c r="F119" s="8" t="n">
        <v>0.9576</v>
      </c>
      <c r="G119" s="8" t="n">
        <v>0</v>
      </c>
      <c r="H119" s="8" t="n">
        <v>0.9576</v>
      </c>
      <c r="I119" s="9" t="inlineStr">
        <is>
          <t>Marfel (unico)</t>
        </is>
      </c>
      <c r="J119" s="8" t="n">
        <v>0.3</v>
      </c>
      <c r="K119" s="10">
        <f>H119+J119</f>
        <v/>
      </c>
      <c r="L119" s="11" t="n">
        <v>0.6</v>
      </c>
      <c r="M119" s="10">
        <f>K119*(1+L119)</f>
        <v/>
      </c>
      <c r="N119" s="7" t="inlineStr">
        <is>
          <t>já existia</t>
        </is>
      </c>
      <c r="O119" s="12" t="inlineStr">
        <is>
          <t>Sem custo cadastrado da Alquimia para esta gramatura — usado apenas o valor da Marfel.</t>
        </is>
      </c>
    </row>
    <row r="120">
      <c r="A120" s="6" t="inlineStr">
        <is>
          <t>Alça Camiseta</t>
        </is>
      </c>
      <c r="B120" s="7" t="inlineStr">
        <is>
          <t>60x80</t>
        </is>
      </c>
      <c r="C120" s="7" t="inlineStr">
        <is>
          <t>0,06</t>
        </is>
      </c>
      <c r="D120" s="7" t="inlineStr">
        <is>
          <t>600–699</t>
        </is>
      </c>
      <c r="E120" s="7" t="n">
        <v>600</v>
      </c>
      <c r="F120" s="8" t="n">
        <v>0.9576</v>
      </c>
      <c r="G120" s="8" t="n">
        <v>0</v>
      </c>
      <c r="H120" s="8" t="n">
        <v>0.9576</v>
      </c>
      <c r="I120" s="9" t="inlineStr">
        <is>
          <t>Marfel (unico)</t>
        </is>
      </c>
      <c r="J120" s="8" t="n">
        <v>0.3</v>
      </c>
      <c r="K120" s="10">
        <f>H120+J120</f>
        <v/>
      </c>
      <c r="L120" s="11" t="n">
        <v>0.57</v>
      </c>
      <c r="M120" s="10">
        <f>K120*(1+L120)</f>
        <v/>
      </c>
      <c r="N120" s="7" t="inlineStr">
        <is>
          <t>já existia</t>
        </is>
      </c>
      <c r="O120" s="12" t="inlineStr">
        <is>
          <t>Sem custo cadastrado da Alquimia para esta gramatura — usado apenas o valor da Marfel.</t>
        </is>
      </c>
    </row>
    <row r="121">
      <c r="A121" s="6" t="inlineStr">
        <is>
          <t>Alça Camiseta</t>
        </is>
      </c>
      <c r="B121" s="7" t="inlineStr">
        <is>
          <t>60x80</t>
        </is>
      </c>
      <c r="C121" s="7" t="inlineStr">
        <is>
          <t>0,06</t>
        </is>
      </c>
      <c r="D121" s="7" t="inlineStr">
        <is>
          <t>700–799</t>
        </is>
      </c>
      <c r="E121" s="7" t="n">
        <v>700</v>
      </c>
      <c r="F121" s="8" t="n">
        <v>0.9576</v>
      </c>
      <c r="G121" s="8" t="n">
        <v>0</v>
      </c>
      <c r="H121" s="8" t="n">
        <v>0.9576</v>
      </c>
      <c r="I121" s="9" t="inlineStr">
        <is>
          <t>Marfel (unico)</t>
        </is>
      </c>
      <c r="J121" s="8" t="n">
        <v>0.3</v>
      </c>
      <c r="K121" s="10">
        <f>H121+J121</f>
        <v/>
      </c>
      <c r="L121" s="11" t="n">
        <v>0.54</v>
      </c>
      <c r="M121" s="10">
        <f>K121*(1+L121)</f>
        <v/>
      </c>
      <c r="N121" s="7" t="inlineStr">
        <is>
          <t>já existia</t>
        </is>
      </c>
      <c r="O121" s="12" t="inlineStr">
        <is>
          <t>Sem custo cadastrado da Alquimia para esta gramatura — usado apenas o valor da Marfel.</t>
        </is>
      </c>
    </row>
    <row r="122">
      <c r="A122" s="6" t="inlineStr">
        <is>
          <t>Alça Camiseta</t>
        </is>
      </c>
      <c r="B122" s="7" t="inlineStr">
        <is>
          <t>60x80</t>
        </is>
      </c>
      <c r="C122" s="7" t="inlineStr">
        <is>
          <t>0,06</t>
        </is>
      </c>
      <c r="D122" s="7" t="inlineStr">
        <is>
          <t>800–899</t>
        </is>
      </c>
      <c r="E122" s="7" t="n">
        <v>800</v>
      </c>
      <c r="F122" s="8" t="n">
        <v>0.9576</v>
      </c>
      <c r="G122" s="8" t="n">
        <v>0</v>
      </c>
      <c r="H122" s="8" t="n">
        <v>0.9576</v>
      </c>
      <c r="I122" s="9" t="inlineStr">
        <is>
          <t>Marfel (unico)</t>
        </is>
      </c>
      <c r="J122" s="8" t="n">
        <v>0.3</v>
      </c>
      <c r="K122" s="10">
        <f>H122+J122</f>
        <v/>
      </c>
      <c r="L122" s="11" t="n">
        <v>0.51</v>
      </c>
      <c r="M122" s="10">
        <f>K122*(1+L122)</f>
        <v/>
      </c>
      <c r="N122" s="7" t="inlineStr">
        <is>
          <t>já existia</t>
        </is>
      </c>
      <c r="O122" s="12" t="inlineStr">
        <is>
          <t>Sem custo cadastrado da Alquimia para esta gramatura — usado apenas o valor da Marfel.</t>
        </is>
      </c>
    </row>
    <row r="123">
      <c r="A123" s="6" t="inlineStr">
        <is>
          <t>Alça Camiseta</t>
        </is>
      </c>
      <c r="B123" s="7" t="inlineStr">
        <is>
          <t>60x80</t>
        </is>
      </c>
      <c r="C123" s="7" t="inlineStr">
        <is>
          <t>0,06</t>
        </is>
      </c>
      <c r="D123" s="7" t="inlineStr">
        <is>
          <t>900–999</t>
        </is>
      </c>
      <c r="E123" s="7" t="n">
        <v>900</v>
      </c>
      <c r="F123" s="8" t="n">
        <v>0.9576</v>
      </c>
      <c r="G123" s="8" t="n">
        <v>0</v>
      </c>
      <c r="H123" s="8" t="n">
        <v>0.9576</v>
      </c>
      <c r="I123" s="9" t="inlineStr">
        <is>
          <t>Marfel (unico)</t>
        </is>
      </c>
      <c r="J123" s="8" t="n">
        <v>0.3</v>
      </c>
      <c r="K123" s="10">
        <f>H123+J123</f>
        <v/>
      </c>
      <c r="L123" s="11" t="n">
        <v>0.48</v>
      </c>
      <c r="M123" s="10">
        <f>K123*(1+L123)</f>
        <v/>
      </c>
      <c r="N123" s="7" t="inlineStr">
        <is>
          <t>já existia</t>
        </is>
      </c>
      <c r="O123" s="12" t="inlineStr">
        <is>
          <t>Sem custo cadastrado da Alquimia para esta gramatura — usado apenas o valor da Marfel.</t>
        </is>
      </c>
    </row>
    <row r="124">
      <c r="A124" s="6" t="inlineStr">
        <is>
          <t>Alça Camiseta</t>
        </is>
      </c>
      <c r="B124" s="7" t="inlineStr">
        <is>
          <t>60x80</t>
        </is>
      </c>
      <c r="C124" s="7" t="inlineStr">
        <is>
          <t>0,06</t>
        </is>
      </c>
      <c r="D124" s="7" t="inlineStr">
        <is>
          <t>1000+</t>
        </is>
      </c>
      <c r="E124" s="7" t="n">
        <v>1000</v>
      </c>
      <c r="F124" s="8" t="n">
        <v>0.9576</v>
      </c>
      <c r="G124" s="8" t="n">
        <v>0</v>
      </c>
      <c r="H124" s="8" t="n">
        <v>0.9576</v>
      </c>
      <c r="I124" s="9" t="inlineStr">
        <is>
          <t>Marfel (unico)</t>
        </is>
      </c>
      <c r="J124" s="8" t="n">
        <v>0.3</v>
      </c>
      <c r="K124" s="10">
        <f>H124+J124</f>
        <v/>
      </c>
      <c r="L124" s="11" t="n">
        <v>0.4</v>
      </c>
      <c r="M124" s="10">
        <f>K124*(1+L124)</f>
        <v/>
      </c>
      <c r="N124" s="7" t="inlineStr">
        <is>
          <t>já existia</t>
        </is>
      </c>
      <c r="O124" s="12" t="inlineStr">
        <is>
          <t>Sem custo cadastrado da Alquimia para esta gramatura — usado apenas o valor da Marfel.</t>
        </is>
      </c>
    </row>
    <row r="125">
      <c r="A125" s="6" t="inlineStr">
        <is>
          <t>Alça Camiseta</t>
        </is>
      </c>
      <c r="B125" s="7" t="inlineStr">
        <is>
          <t>60x80</t>
        </is>
      </c>
      <c r="C125" s="7" t="inlineStr">
        <is>
          <t>0,07</t>
        </is>
      </c>
      <c r="D125" s="7" t="inlineStr">
        <is>
          <t>100–199</t>
        </is>
      </c>
      <c r="E125" s="7" t="n">
        <v>100</v>
      </c>
      <c r="F125" s="8" t="n">
        <v>0</v>
      </c>
      <c r="G125" s="8" t="n">
        <v>0.795</v>
      </c>
      <c r="H125" s="8" t="n">
        <v>0.795</v>
      </c>
      <c r="I125" s="9" t="inlineStr">
        <is>
          <t>Alquimia (unico)</t>
        </is>
      </c>
      <c r="J125" s="8" t="n">
        <v>0.3</v>
      </c>
      <c r="K125" s="10">
        <f>H125+J125</f>
        <v/>
      </c>
      <c r="L125" s="11" t="n">
        <v>1</v>
      </c>
      <c r="M125" s="10">
        <f>K125*(1+L125)</f>
        <v/>
      </c>
      <c r="N125" s="7" t="inlineStr">
        <is>
          <t>já existia</t>
        </is>
      </c>
      <c r="O125" s="12" t="inlineStr">
        <is>
          <t>Sem custo cadastrado da Marfel para esta gramatura — usado apenas o valor da Alquimia.</t>
        </is>
      </c>
    </row>
    <row r="126">
      <c r="A126" s="6" t="inlineStr">
        <is>
          <t>Alça Camiseta</t>
        </is>
      </c>
      <c r="B126" s="7" t="inlineStr">
        <is>
          <t>60x80</t>
        </is>
      </c>
      <c r="C126" s="7" t="inlineStr">
        <is>
          <t>0,07</t>
        </is>
      </c>
      <c r="D126" s="7" t="inlineStr">
        <is>
          <t>200–299</t>
        </is>
      </c>
      <c r="E126" s="7" t="n">
        <v>200</v>
      </c>
      <c r="F126" s="8" t="n">
        <v>0</v>
      </c>
      <c r="G126" s="8" t="n">
        <v>0.795</v>
      </c>
      <c r="H126" s="8" t="n">
        <v>0.795</v>
      </c>
      <c r="I126" s="9" t="inlineStr">
        <is>
          <t>Alquimia (unico)</t>
        </is>
      </c>
      <c r="J126" s="8" t="n">
        <v>0.3</v>
      </c>
      <c r="K126" s="10">
        <f>H126+J126</f>
        <v/>
      </c>
      <c r="L126" s="11" t="n">
        <v>0.75</v>
      </c>
      <c r="M126" s="10">
        <f>K126*(1+L126)</f>
        <v/>
      </c>
      <c r="N126" s="7" t="inlineStr">
        <is>
          <t>já existia</t>
        </is>
      </c>
      <c r="O126" s="12" t="inlineStr">
        <is>
          <t>Sem custo cadastrado da Marfel para esta gramatura — usado apenas o valor da Alquimia.</t>
        </is>
      </c>
    </row>
    <row r="127">
      <c r="A127" s="6" t="inlineStr">
        <is>
          <t>Alça Camiseta</t>
        </is>
      </c>
      <c r="B127" s="7" t="inlineStr">
        <is>
          <t>60x80</t>
        </is>
      </c>
      <c r="C127" s="7" t="inlineStr">
        <is>
          <t>0,07</t>
        </is>
      </c>
      <c r="D127" s="7" t="inlineStr">
        <is>
          <t>300–399</t>
        </is>
      </c>
      <c r="E127" s="7" t="n">
        <v>300</v>
      </c>
      <c r="F127" s="8" t="n">
        <v>0</v>
      </c>
      <c r="G127" s="8" t="n">
        <v>0.795</v>
      </c>
      <c r="H127" s="8" t="n">
        <v>0.795</v>
      </c>
      <c r="I127" s="9" t="inlineStr">
        <is>
          <t>Alquimia (unico)</t>
        </is>
      </c>
      <c r="J127" s="8" t="n">
        <v>0.3</v>
      </c>
      <c r="K127" s="10">
        <f>H127+J127</f>
        <v/>
      </c>
      <c r="L127" s="11" t="n">
        <v>0.7</v>
      </c>
      <c r="M127" s="10">
        <f>K127*(1+L127)</f>
        <v/>
      </c>
      <c r="N127" s="7" t="inlineStr">
        <is>
          <t>já existia</t>
        </is>
      </c>
      <c r="O127" s="12" t="inlineStr">
        <is>
          <t>Sem custo cadastrado da Marfel para esta gramatura — usado apenas o valor da Alquimia.</t>
        </is>
      </c>
    </row>
    <row r="128">
      <c r="A128" s="6" t="inlineStr">
        <is>
          <t>Alça Camiseta</t>
        </is>
      </c>
      <c r="B128" s="7" t="inlineStr">
        <is>
          <t>60x80</t>
        </is>
      </c>
      <c r="C128" s="7" t="inlineStr">
        <is>
          <t>0,07</t>
        </is>
      </c>
      <c r="D128" s="7" t="inlineStr">
        <is>
          <t>400–499</t>
        </is>
      </c>
      <c r="E128" s="7" t="n">
        <v>400</v>
      </c>
      <c r="F128" s="8" t="n">
        <v>0</v>
      </c>
      <c r="G128" s="8" t="n">
        <v>0.795</v>
      </c>
      <c r="H128" s="8" t="n">
        <v>0.795</v>
      </c>
      <c r="I128" s="9" t="inlineStr">
        <is>
          <t>Alquimia (unico)</t>
        </is>
      </c>
      <c r="J128" s="8" t="n">
        <v>0.3</v>
      </c>
      <c r="K128" s="10">
        <f>H128+J128</f>
        <v/>
      </c>
      <c r="L128" s="11" t="n">
        <v>0.65</v>
      </c>
      <c r="M128" s="10">
        <f>K128*(1+L128)</f>
        <v/>
      </c>
      <c r="N128" s="7" t="inlineStr">
        <is>
          <t>já existia</t>
        </is>
      </c>
      <c r="O128" s="12" t="inlineStr">
        <is>
          <t>Sem custo cadastrado da Marfel para esta gramatura — usado apenas o valor da Alquimia.</t>
        </is>
      </c>
    </row>
    <row r="129">
      <c r="A129" s="6" t="inlineStr">
        <is>
          <t>Alça Camiseta</t>
        </is>
      </c>
      <c r="B129" s="7" t="inlineStr">
        <is>
          <t>60x80</t>
        </is>
      </c>
      <c r="C129" s="7" t="inlineStr">
        <is>
          <t>0,07</t>
        </is>
      </c>
      <c r="D129" s="7" t="inlineStr">
        <is>
          <t>500–599</t>
        </is>
      </c>
      <c r="E129" s="7" t="n">
        <v>500</v>
      </c>
      <c r="F129" s="8" t="n">
        <v>0</v>
      </c>
      <c r="G129" s="8" t="n">
        <v>0.795</v>
      </c>
      <c r="H129" s="8" t="n">
        <v>0.795</v>
      </c>
      <c r="I129" s="9" t="inlineStr">
        <is>
          <t>Alquimia (unico)</t>
        </is>
      </c>
      <c r="J129" s="8" t="n">
        <v>0.3</v>
      </c>
      <c r="K129" s="10">
        <f>H129+J129</f>
        <v/>
      </c>
      <c r="L129" s="11" t="n">
        <v>0.6</v>
      </c>
      <c r="M129" s="10">
        <f>K129*(1+L129)</f>
        <v/>
      </c>
      <c r="N129" s="7" t="inlineStr">
        <is>
          <t>já existia</t>
        </is>
      </c>
      <c r="O129" s="12" t="inlineStr">
        <is>
          <t>Sem custo cadastrado da Marfel para esta gramatura — usado apenas o valor da Alquimia.</t>
        </is>
      </c>
    </row>
    <row r="130">
      <c r="A130" s="6" t="inlineStr">
        <is>
          <t>Alça Camiseta</t>
        </is>
      </c>
      <c r="B130" s="7" t="inlineStr">
        <is>
          <t>60x80</t>
        </is>
      </c>
      <c r="C130" s="7" t="inlineStr">
        <is>
          <t>0,07</t>
        </is>
      </c>
      <c r="D130" s="7" t="inlineStr">
        <is>
          <t>600–699</t>
        </is>
      </c>
      <c r="E130" s="7" t="n">
        <v>600</v>
      </c>
      <c r="F130" s="8" t="n">
        <v>0</v>
      </c>
      <c r="G130" s="8" t="n">
        <v>0.795</v>
      </c>
      <c r="H130" s="8" t="n">
        <v>0.795</v>
      </c>
      <c r="I130" s="9" t="inlineStr">
        <is>
          <t>Alquimia (unico)</t>
        </is>
      </c>
      <c r="J130" s="8" t="n">
        <v>0.3</v>
      </c>
      <c r="K130" s="10">
        <f>H130+J130</f>
        <v/>
      </c>
      <c r="L130" s="11" t="n">
        <v>0.57</v>
      </c>
      <c r="M130" s="10">
        <f>K130*(1+L130)</f>
        <v/>
      </c>
      <c r="N130" s="7" t="inlineStr">
        <is>
          <t>já existia</t>
        </is>
      </c>
      <c r="O130" s="12" t="inlineStr">
        <is>
          <t>Sem custo cadastrado da Marfel para esta gramatura — usado apenas o valor da Alquimia.</t>
        </is>
      </c>
    </row>
    <row r="131">
      <c r="A131" s="6" t="inlineStr">
        <is>
          <t>Alça Camiseta</t>
        </is>
      </c>
      <c r="B131" s="7" t="inlineStr">
        <is>
          <t>60x80</t>
        </is>
      </c>
      <c r="C131" s="7" t="inlineStr">
        <is>
          <t>0,07</t>
        </is>
      </c>
      <c r="D131" s="7" t="inlineStr">
        <is>
          <t>700–799</t>
        </is>
      </c>
      <c r="E131" s="7" t="n">
        <v>700</v>
      </c>
      <c r="F131" s="8" t="n">
        <v>0</v>
      </c>
      <c r="G131" s="8" t="n">
        <v>0.795</v>
      </c>
      <c r="H131" s="8" t="n">
        <v>0.795</v>
      </c>
      <c r="I131" s="9" t="inlineStr">
        <is>
          <t>Alquimia (unico)</t>
        </is>
      </c>
      <c r="J131" s="8" t="n">
        <v>0.3</v>
      </c>
      <c r="K131" s="10">
        <f>H131+J131</f>
        <v/>
      </c>
      <c r="L131" s="11" t="n">
        <v>0.54</v>
      </c>
      <c r="M131" s="10">
        <f>K131*(1+L131)</f>
        <v/>
      </c>
      <c r="N131" s="7" t="inlineStr">
        <is>
          <t>já existia</t>
        </is>
      </c>
      <c r="O131" s="12" t="inlineStr">
        <is>
          <t>Sem custo cadastrado da Marfel para esta gramatura — usado apenas o valor da Alquimia.</t>
        </is>
      </c>
    </row>
    <row r="132">
      <c r="A132" s="6" t="inlineStr">
        <is>
          <t>Alça Camiseta</t>
        </is>
      </c>
      <c r="B132" s="7" t="inlineStr">
        <is>
          <t>60x80</t>
        </is>
      </c>
      <c r="C132" s="7" t="inlineStr">
        <is>
          <t>0,07</t>
        </is>
      </c>
      <c r="D132" s="7" t="inlineStr">
        <is>
          <t>800–899</t>
        </is>
      </c>
      <c r="E132" s="7" t="n">
        <v>800</v>
      </c>
      <c r="F132" s="8" t="n">
        <v>0</v>
      </c>
      <c r="G132" s="8" t="n">
        <v>0.795</v>
      </c>
      <c r="H132" s="8" t="n">
        <v>0.795</v>
      </c>
      <c r="I132" s="9" t="inlineStr">
        <is>
          <t>Alquimia (unico)</t>
        </is>
      </c>
      <c r="J132" s="8" t="n">
        <v>0.3</v>
      </c>
      <c r="K132" s="10">
        <f>H132+J132</f>
        <v/>
      </c>
      <c r="L132" s="11" t="n">
        <v>0.51</v>
      </c>
      <c r="M132" s="10">
        <f>K132*(1+L132)</f>
        <v/>
      </c>
      <c r="N132" s="7" t="inlineStr">
        <is>
          <t>já existia</t>
        </is>
      </c>
      <c r="O132" s="12" t="inlineStr">
        <is>
          <t>Sem custo cadastrado da Marfel para esta gramatura — usado apenas o valor da Alquimia.</t>
        </is>
      </c>
    </row>
    <row r="133">
      <c r="A133" s="6" t="inlineStr">
        <is>
          <t>Alça Camiseta</t>
        </is>
      </c>
      <c r="B133" s="7" t="inlineStr">
        <is>
          <t>60x80</t>
        </is>
      </c>
      <c r="C133" s="7" t="inlineStr">
        <is>
          <t>0,07</t>
        </is>
      </c>
      <c r="D133" s="7" t="inlineStr">
        <is>
          <t>900–999</t>
        </is>
      </c>
      <c r="E133" s="7" t="n">
        <v>900</v>
      </c>
      <c r="F133" s="8" t="n">
        <v>0</v>
      </c>
      <c r="G133" s="8" t="n">
        <v>0.795</v>
      </c>
      <c r="H133" s="8" t="n">
        <v>0.795</v>
      </c>
      <c r="I133" s="9" t="inlineStr">
        <is>
          <t>Alquimia (unico)</t>
        </is>
      </c>
      <c r="J133" s="8" t="n">
        <v>0.3</v>
      </c>
      <c r="K133" s="10">
        <f>H133+J133</f>
        <v/>
      </c>
      <c r="L133" s="11" t="n">
        <v>0.48</v>
      </c>
      <c r="M133" s="10">
        <f>K133*(1+L133)</f>
        <v/>
      </c>
      <c r="N133" s="7" t="inlineStr">
        <is>
          <t>já existia</t>
        </is>
      </c>
      <c r="O133" s="12" t="inlineStr">
        <is>
          <t>Sem custo cadastrado da Marfel para esta gramatura — usado apenas o valor da Alquimia.</t>
        </is>
      </c>
    </row>
    <row r="134">
      <c r="A134" s="6" t="inlineStr">
        <is>
          <t>Alça Camiseta</t>
        </is>
      </c>
      <c r="B134" s="7" t="inlineStr">
        <is>
          <t>60x80</t>
        </is>
      </c>
      <c r="C134" s="7" t="inlineStr">
        <is>
          <t>0,07</t>
        </is>
      </c>
      <c r="D134" s="7" t="inlineStr">
        <is>
          <t>1000+</t>
        </is>
      </c>
      <c r="E134" s="7" t="n">
        <v>1000</v>
      </c>
      <c r="F134" s="8" t="n">
        <v>0</v>
      </c>
      <c r="G134" s="8" t="n">
        <v>0.795</v>
      </c>
      <c r="H134" s="8" t="n">
        <v>0.795</v>
      </c>
      <c r="I134" s="9" t="inlineStr">
        <is>
          <t>Alquimia (unico)</t>
        </is>
      </c>
      <c r="J134" s="8" t="n">
        <v>0.3</v>
      </c>
      <c r="K134" s="10">
        <f>H134+J134</f>
        <v/>
      </c>
      <c r="L134" s="11" t="n">
        <v>0.4</v>
      </c>
      <c r="M134" s="10">
        <f>K134*(1+L134)</f>
        <v/>
      </c>
      <c r="N134" s="7" t="inlineStr">
        <is>
          <t>já existia</t>
        </is>
      </c>
      <c r="O134" s="12" t="inlineStr">
        <is>
          <t>Sem custo cadastrado da Marfel para esta gramatura — usado apenas o valor da Alquimia.</t>
        </is>
      </c>
    </row>
    <row r="135">
      <c r="A135" s="6" t="inlineStr">
        <is>
          <t>Alça Camiseta</t>
        </is>
      </c>
      <c r="B135" s="7" t="inlineStr">
        <is>
          <t>70x90</t>
        </is>
      </c>
      <c r="C135" s="7" t="inlineStr">
        <is>
          <t>0,07</t>
        </is>
      </c>
      <c r="D135" s="7" t="inlineStr">
        <is>
          <t>100–199</t>
        </is>
      </c>
      <c r="E135" s="7" t="n">
        <v>100</v>
      </c>
      <c r="F135" s="8" t="n">
        <v>1.2996</v>
      </c>
      <c r="G135" s="8" t="n">
        <v>0</v>
      </c>
      <c r="H135" s="8" t="n">
        <v>1.2996</v>
      </c>
      <c r="I135" s="9" t="inlineStr">
        <is>
          <t>Marfel (unico)</t>
        </is>
      </c>
      <c r="J135" s="8" t="n">
        <v>0.3</v>
      </c>
      <c r="K135" s="10">
        <f>H135+J135</f>
        <v/>
      </c>
      <c r="L135" s="11" t="n">
        <v>1</v>
      </c>
      <c r="M135" s="10">
        <f>K135*(1+L135)</f>
        <v/>
      </c>
      <c r="N135" s="7" t="inlineStr">
        <is>
          <t>NOVO (Tabela Marfel V01JUN26)</t>
        </is>
      </c>
      <c r="O135" s="12" t="inlineStr">
        <is>
          <t>Sem custo cadastrado da Alquimia para esta gramatura — usado apenas o valor da Marfel.</t>
        </is>
      </c>
    </row>
    <row r="136">
      <c r="A136" s="6" t="inlineStr">
        <is>
          <t>Alça Camiseta</t>
        </is>
      </c>
      <c r="B136" s="7" t="inlineStr">
        <is>
          <t>70x90</t>
        </is>
      </c>
      <c r="C136" s="7" t="inlineStr">
        <is>
          <t>0,07</t>
        </is>
      </c>
      <c r="D136" s="7" t="inlineStr">
        <is>
          <t>200–299</t>
        </is>
      </c>
      <c r="E136" s="7" t="n">
        <v>200</v>
      </c>
      <c r="F136" s="8" t="n">
        <v>1.2996</v>
      </c>
      <c r="G136" s="8" t="n">
        <v>0</v>
      </c>
      <c r="H136" s="8" t="n">
        <v>1.2996</v>
      </c>
      <c r="I136" s="9" t="inlineStr">
        <is>
          <t>Marfel (unico)</t>
        </is>
      </c>
      <c r="J136" s="8" t="n">
        <v>0.3</v>
      </c>
      <c r="K136" s="10">
        <f>H136+J136</f>
        <v/>
      </c>
      <c r="L136" s="11" t="n">
        <v>0.75</v>
      </c>
      <c r="M136" s="10">
        <f>K136*(1+L136)</f>
        <v/>
      </c>
      <c r="N136" s="7" t="inlineStr">
        <is>
          <t>NOVO (Tabela Marfel V01JUN26)</t>
        </is>
      </c>
      <c r="O136" s="12" t="inlineStr">
        <is>
          <t>Sem custo cadastrado da Alquimia para esta gramatura — usado apenas o valor da Marfel.</t>
        </is>
      </c>
    </row>
    <row r="137">
      <c r="A137" s="6" t="inlineStr">
        <is>
          <t>Alça Camiseta</t>
        </is>
      </c>
      <c r="B137" s="7" t="inlineStr">
        <is>
          <t>70x90</t>
        </is>
      </c>
      <c r="C137" s="7" t="inlineStr">
        <is>
          <t>0,07</t>
        </is>
      </c>
      <c r="D137" s="7" t="inlineStr">
        <is>
          <t>300–399</t>
        </is>
      </c>
      <c r="E137" s="7" t="n">
        <v>300</v>
      </c>
      <c r="F137" s="8" t="n">
        <v>1.2996</v>
      </c>
      <c r="G137" s="8" t="n">
        <v>0</v>
      </c>
      <c r="H137" s="8" t="n">
        <v>1.2996</v>
      </c>
      <c r="I137" s="9" t="inlineStr">
        <is>
          <t>Marfel (unico)</t>
        </is>
      </c>
      <c r="J137" s="8" t="n">
        <v>0.3</v>
      </c>
      <c r="K137" s="10">
        <f>H137+J137</f>
        <v/>
      </c>
      <c r="L137" s="11" t="n">
        <v>0.7</v>
      </c>
      <c r="M137" s="10">
        <f>K137*(1+L137)</f>
        <v/>
      </c>
      <c r="N137" s="7" t="inlineStr">
        <is>
          <t>NOVO (Tabela Marfel V01JUN26)</t>
        </is>
      </c>
      <c r="O137" s="12" t="inlineStr">
        <is>
          <t>Sem custo cadastrado da Alquimia para esta gramatura — usado apenas o valor da Marfel.</t>
        </is>
      </c>
    </row>
    <row r="138">
      <c r="A138" s="6" t="inlineStr">
        <is>
          <t>Alça Camiseta</t>
        </is>
      </c>
      <c r="B138" s="7" t="inlineStr">
        <is>
          <t>70x90</t>
        </is>
      </c>
      <c r="C138" s="7" t="inlineStr">
        <is>
          <t>0,07</t>
        </is>
      </c>
      <c r="D138" s="7" t="inlineStr">
        <is>
          <t>400–499</t>
        </is>
      </c>
      <c r="E138" s="7" t="n">
        <v>400</v>
      </c>
      <c r="F138" s="8" t="n">
        <v>1.2996</v>
      </c>
      <c r="G138" s="8" t="n">
        <v>0</v>
      </c>
      <c r="H138" s="8" t="n">
        <v>1.2996</v>
      </c>
      <c r="I138" s="9" t="inlineStr">
        <is>
          <t>Marfel (unico)</t>
        </is>
      </c>
      <c r="J138" s="8" t="n">
        <v>0.3</v>
      </c>
      <c r="K138" s="10">
        <f>H138+J138</f>
        <v/>
      </c>
      <c r="L138" s="11" t="n">
        <v>0.65</v>
      </c>
      <c r="M138" s="10">
        <f>K138*(1+L138)</f>
        <v/>
      </c>
      <c r="N138" s="7" t="inlineStr">
        <is>
          <t>NOVO (Tabela Marfel V01JUN26)</t>
        </is>
      </c>
      <c r="O138" s="12" t="inlineStr">
        <is>
          <t>Sem custo cadastrado da Alquimia para esta gramatura — usado apenas o valor da Marfel.</t>
        </is>
      </c>
    </row>
    <row r="139">
      <c r="A139" s="6" t="inlineStr">
        <is>
          <t>Alça Camiseta</t>
        </is>
      </c>
      <c r="B139" s="7" t="inlineStr">
        <is>
          <t>70x90</t>
        </is>
      </c>
      <c r="C139" s="7" t="inlineStr">
        <is>
          <t>0,07</t>
        </is>
      </c>
      <c r="D139" s="7" t="inlineStr">
        <is>
          <t>500–599</t>
        </is>
      </c>
      <c r="E139" s="7" t="n">
        <v>500</v>
      </c>
      <c r="F139" s="8" t="n">
        <v>1.2996</v>
      </c>
      <c r="G139" s="8" t="n">
        <v>0</v>
      </c>
      <c r="H139" s="8" t="n">
        <v>1.2996</v>
      </c>
      <c r="I139" s="9" t="inlineStr">
        <is>
          <t>Marfel (unico)</t>
        </is>
      </c>
      <c r="J139" s="8" t="n">
        <v>0.3</v>
      </c>
      <c r="K139" s="10">
        <f>H139+J139</f>
        <v/>
      </c>
      <c r="L139" s="11" t="n">
        <v>0.6</v>
      </c>
      <c r="M139" s="10">
        <f>K139*(1+L139)</f>
        <v/>
      </c>
      <c r="N139" s="7" t="inlineStr">
        <is>
          <t>NOVO (Tabela Marfel V01JUN26)</t>
        </is>
      </c>
      <c r="O139" s="12" t="inlineStr">
        <is>
          <t>Sem custo cadastrado da Alquimia para esta gramatura — usado apenas o valor da Marfel.</t>
        </is>
      </c>
    </row>
    <row r="140">
      <c r="A140" s="6" t="inlineStr">
        <is>
          <t>Alça Camiseta</t>
        </is>
      </c>
      <c r="B140" s="7" t="inlineStr">
        <is>
          <t>70x90</t>
        </is>
      </c>
      <c r="C140" s="7" t="inlineStr">
        <is>
          <t>0,07</t>
        </is>
      </c>
      <c r="D140" s="7" t="inlineStr">
        <is>
          <t>600–699</t>
        </is>
      </c>
      <c r="E140" s="7" t="n">
        <v>600</v>
      </c>
      <c r="F140" s="8" t="n">
        <v>1.2996</v>
      </c>
      <c r="G140" s="8" t="n">
        <v>0</v>
      </c>
      <c r="H140" s="8" t="n">
        <v>1.2996</v>
      </c>
      <c r="I140" s="9" t="inlineStr">
        <is>
          <t>Marfel (unico)</t>
        </is>
      </c>
      <c r="J140" s="8" t="n">
        <v>0.3</v>
      </c>
      <c r="K140" s="10">
        <f>H140+J140</f>
        <v/>
      </c>
      <c r="L140" s="11" t="n">
        <v>0.57</v>
      </c>
      <c r="M140" s="10">
        <f>K140*(1+L140)</f>
        <v/>
      </c>
      <c r="N140" s="7" t="inlineStr">
        <is>
          <t>NOVO (Tabela Marfel V01JUN26)</t>
        </is>
      </c>
      <c r="O140" s="12" t="inlineStr">
        <is>
          <t>Sem custo cadastrado da Alquimia para esta gramatura — usado apenas o valor da Marfel.</t>
        </is>
      </c>
    </row>
    <row r="141">
      <c r="A141" s="6" t="inlineStr">
        <is>
          <t>Alça Camiseta</t>
        </is>
      </c>
      <c r="B141" s="7" t="inlineStr">
        <is>
          <t>70x90</t>
        </is>
      </c>
      <c r="C141" s="7" t="inlineStr">
        <is>
          <t>0,07</t>
        </is>
      </c>
      <c r="D141" s="7" t="inlineStr">
        <is>
          <t>700–799</t>
        </is>
      </c>
      <c r="E141" s="7" t="n">
        <v>700</v>
      </c>
      <c r="F141" s="8" t="n">
        <v>1.2996</v>
      </c>
      <c r="G141" s="8" t="n">
        <v>0</v>
      </c>
      <c r="H141" s="8" t="n">
        <v>1.2996</v>
      </c>
      <c r="I141" s="9" t="inlineStr">
        <is>
          <t>Marfel (unico)</t>
        </is>
      </c>
      <c r="J141" s="8" t="n">
        <v>0.3</v>
      </c>
      <c r="K141" s="10">
        <f>H141+J141</f>
        <v/>
      </c>
      <c r="L141" s="11" t="n">
        <v>0.54</v>
      </c>
      <c r="M141" s="10">
        <f>K141*(1+L141)</f>
        <v/>
      </c>
      <c r="N141" s="7" t="inlineStr">
        <is>
          <t>NOVO (Tabela Marfel V01JUN26)</t>
        </is>
      </c>
      <c r="O141" s="12" t="inlineStr">
        <is>
          <t>Sem custo cadastrado da Alquimia para esta gramatura — usado apenas o valor da Marfel.</t>
        </is>
      </c>
    </row>
    <row r="142">
      <c r="A142" s="6" t="inlineStr">
        <is>
          <t>Alça Camiseta</t>
        </is>
      </c>
      <c r="B142" s="7" t="inlineStr">
        <is>
          <t>70x90</t>
        </is>
      </c>
      <c r="C142" s="7" t="inlineStr">
        <is>
          <t>0,07</t>
        </is>
      </c>
      <c r="D142" s="7" t="inlineStr">
        <is>
          <t>800–899</t>
        </is>
      </c>
      <c r="E142" s="7" t="n">
        <v>800</v>
      </c>
      <c r="F142" s="8" t="n">
        <v>1.2996</v>
      </c>
      <c r="G142" s="8" t="n">
        <v>0</v>
      </c>
      <c r="H142" s="8" t="n">
        <v>1.2996</v>
      </c>
      <c r="I142" s="9" t="inlineStr">
        <is>
          <t>Marfel (unico)</t>
        </is>
      </c>
      <c r="J142" s="8" t="n">
        <v>0.3</v>
      </c>
      <c r="K142" s="10">
        <f>H142+J142</f>
        <v/>
      </c>
      <c r="L142" s="11" t="n">
        <v>0.51</v>
      </c>
      <c r="M142" s="10">
        <f>K142*(1+L142)</f>
        <v/>
      </c>
      <c r="N142" s="7" t="inlineStr">
        <is>
          <t>NOVO (Tabela Marfel V01JUN26)</t>
        </is>
      </c>
      <c r="O142" s="12" t="inlineStr">
        <is>
          <t>Sem custo cadastrado da Alquimia para esta gramatura — usado apenas o valor da Marfel.</t>
        </is>
      </c>
    </row>
    <row r="143">
      <c r="A143" s="6" t="inlineStr">
        <is>
          <t>Alça Camiseta</t>
        </is>
      </c>
      <c r="B143" s="7" t="inlineStr">
        <is>
          <t>70x90</t>
        </is>
      </c>
      <c r="C143" s="7" t="inlineStr">
        <is>
          <t>0,07</t>
        </is>
      </c>
      <c r="D143" s="7" t="inlineStr">
        <is>
          <t>900–999</t>
        </is>
      </c>
      <c r="E143" s="7" t="n">
        <v>900</v>
      </c>
      <c r="F143" s="8" t="n">
        <v>1.2996</v>
      </c>
      <c r="G143" s="8" t="n">
        <v>0</v>
      </c>
      <c r="H143" s="8" t="n">
        <v>1.2996</v>
      </c>
      <c r="I143" s="9" t="inlineStr">
        <is>
          <t>Marfel (unico)</t>
        </is>
      </c>
      <c r="J143" s="8" t="n">
        <v>0.3</v>
      </c>
      <c r="K143" s="10">
        <f>H143+J143</f>
        <v/>
      </c>
      <c r="L143" s="11" t="n">
        <v>0.48</v>
      </c>
      <c r="M143" s="10">
        <f>K143*(1+L143)</f>
        <v/>
      </c>
      <c r="N143" s="7" t="inlineStr">
        <is>
          <t>NOVO (Tabela Marfel V01JUN26)</t>
        </is>
      </c>
      <c r="O143" s="12" t="inlineStr">
        <is>
          <t>Sem custo cadastrado da Alquimia para esta gramatura — usado apenas o valor da Marfel.</t>
        </is>
      </c>
    </row>
    <row r="144">
      <c r="A144" s="6" t="inlineStr">
        <is>
          <t>Alça Camiseta</t>
        </is>
      </c>
      <c r="B144" s="7" t="inlineStr">
        <is>
          <t>70x90</t>
        </is>
      </c>
      <c r="C144" s="7" t="inlineStr">
        <is>
          <t>0,07</t>
        </is>
      </c>
      <c r="D144" s="7" t="inlineStr">
        <is>
          <t>1000+</t>
        </is>
      </c>
      <c r="E144" s="7" t="n">
        <v>1000</v>
      </c>
      <c r="F144" s="8" t="n">
        <v>1.2996</v>
      </c>
      <c r="G144" s="8" t="n">
        <v>0</v>
      </c>
      <c r="H144" s="8" t="n">
        <v>1.2996</v>
      </c>
      <c r="I144" s="9" t="inlineStr">
        <is>
          <t>Marfel (unico)</t>
        </is>
      </c>
      <c r="J144" s="8" t="n">
        <v>0.3</v>
      </c>
      <c r="K144" s="10">
        <f>H144+J144</f>
        <v/>
      </c>
      <c r="L144" s="11" t="n">
        <v>0.4</v>
      </c>
      <c r="M144" s="10">
        <f>K144*(1+L144)</f>
        <v/>
      </c>
      <c r="N144" s="7" t="inlineStr">
        <is>
          <t>NOVO (Tabela Marfel V01JUN26)</t>
        </is>
      </c>
      <c r="O144" s="12" t="inlineStr">
        <is>
          <t>Sem custo cadastrado da Alquimia para esta gramatura — usado apenas o valor da Marfel.</t>
        </is>
      </c>
    </row>
    <row r="145">
      <c r="A145" s="6" t="inlineStr">
        <is>
          <t>Alça Camiseta</t>
        </is>
      </c>
      <c r="B145" s="7" t="inlineStr">
        <is>
          <t>90x100</t>
        </is>
      </c>
      <c r="C145" s="7" t="inlineStr">
        <is>
          <t>0,07</t>
        </is>
      </c>
      <c r="D145" s="7" t="inlineStr">
        <is>
          <t>100–199</t>
        </is>
      </c>
      <c r="E145" s="7" t="n">
        <v>100</v>
      </c>
      <c r="F145" s="8" t="n">
        <v>1.9152</v>
      </c>
      <c r="G145" s="8" t="n">
        <v>0</v>
      </c>
      <c r="H145" s="8" t="n">
        <v>1.9152</v>
      </c>
      <c r="I145" s="9" t="inlineStr">
        <is>
          <t>Marfel (unico)</t>
        </is>
      </c>
      <c r="J145" s="8" t="n">
        <v>0.3</v>
      </c>
      <c r="K145" s="10">
        <f>H145+J145</f>
        <v/>
      </c>
      <c r="L145" s="11" t="n">
        <v>1</v>
      </c>
      <c r="M145" s="10">
        <f>K145*(1+L145)</f>
        <v/>
      </c>
      <c r="N145" s="7" t="inlineStr">
        <is>
          <t>NOVO (Tabela Marfel V01JUN26)</t>
        </is>
      </c>
      <c r="O145" s="12" t="inlineStr">
        <is>
          <t>Sem custo cadastrado da Alquimia para esta gramatura — usado apenas o valor da Marfel.</t>
        </is>
      </c>
    </row>
    <row r="146">
      <c r="A146" s="6" t="inlineStr">
        <is>
          <t>Alça Camiseta</t>
        </is>
      </c>
      <c r="B146" s="7" t="inlineStr">
        <is>
          <t>90x100</t>
        </is>
      </c>
      <c r="C146" s="7" t="inlineStr">
        <is>
          <t>0,07</t>
        </is>
      </c>
      <c r="D146" s="7" t="inlineStr">
        <is>
          <t>200–299</t>
        </is>
      </c>
      <c r="E146" s="7" t="n">
        <v>200</v>
      </c>
      <c r="F146" s="8" t="n">
        <v>1.9152</v>
      </c>
      <c r="G146" s="8" t="n">
        <v>0</v>
      </c>
      <c r="H146" s="8" t="n">
        <v>1.9152</v>
      </c>
      <c r="I146" s="9" t="inlineStr">
        <is>
          <t>Marfel (unico)</t>
        </is>
      </c>
      <c r="J146" s="8" t="n">
        <v>0.3</v>
      </c>
      <c r="K146" s="10">
        <f>H146+J146</f>
        <v/>
      </c>
      <c r="L146" s="11" t="n">
        <v>0.75</v>
      </c>
      <c r="M146" s="10">
        <f>K146*(1+L146)</f>
        <v/>
      </c>
      <c r="N146" s="7" t="inlineStr">
        <is>
          <t>NOVO (Tabela Marfel V01JUN26)</t>
        </is>
      </c>
      <c r="O146" s="12" t="inlineStr">
        <is>
          <t>Sem custo cadastrado da Alquimia para esta gramatura — usado apenas o valor da Marfel.</t>
        </is>
      </c>
    </row>
    <row r="147">
      <c r="A147" s="6" t="inlineStr">
        <is>
          <t>Alça Camiseta</t>
        </is>
      </c>
      <c r="B147" s="7" t="inlineStr">
        <is>
          <t>90x100</t>
        </is>
      </c>
      <c r="C147" s="7" t="inlineStr">
        <is>
          <t>0,07</t>
        </is>
      </c>
      <c r="D147" s="7" t="inlineStr">
        <is>
          <t>300–399</t>
        </is>
      </c>
      <c r="E147" s="7" t="n">
        <v>300</v>
      </c>
      <c r="F147" s="8" t="n">
        <v>1.9152</v>
      </c>
      <c r="G147" s="8" t="n">
        <v>0</v>
      </c>
      <c r="H147" s="8" t="n">
        <v>1.9152</v>
      </c>
      <c r="I147" s="9" t="inlineStr">
        <is>
          <t>Marfel (unico)</t>
        </is>
      </c>
      <c r="J147" s="8" t="n">
        <v>0.3</v>
      </c>
      <c r="K147" s="10">
        <f>H147+J147</f>
        <v/>
      </c>
      <c r="L147" s="11" t="n">
        <v>0.7</v>
      </c>
      <c r="M147" s="10">
        <f>K147*(1+L147)</f>
        <v/>
      </c>
      <c r="N147" s="7" t="inlineStr">
        <is>
          <t>NOVO (Tabela Marfel V01JUN26)</t>
        </is>
      </c>
      <c r="O147" s="12" t="inlineStr">
        <is>
          <t>Sem custo cadastrado da Alquimia para esta gramatura — usado apenas o valor da Marfel.</t>
        </is>
      </c>
    </row>
    <row r="148">
      <c r="A148" s="6" t="inlineStr">
        <is>
          <t>Alça Camiseta</t>
        </is>
      </c>
      <c r="B148" s="7" t="inlineStr">
        <is>
          <t>90x100</t>
        </is>
      </c>
      <c r="C148" s="7" t="inlineStr">
        <is>
          <t>0,07</t>
        </is>
      </c>
      <c r="D148" s="7" t="inlineStr">
        <is>
          <t>400–499</t>
        </is>
      </c>
      <c r="E148" s="7" t="n">
        <v>400</v>
      </c>
      <c r="F148" s="8" t="n">
        <v>1.9152</v>
      </c>
      <c r="G148" s="8" t="n">
        <v>0</v>
      </c>
      <c r="H148" s="8" t="n">
        <v>1.9152</v>
      </c>
      <c r="I148" s="9" t="inlineStr">
        <is>
          <t>Marfel (unico)</t>
        </is>
      </c>
      <c r="J148" s="8" t="n">
        <v>0.3</v>
      </c>
      <c r="K148" s="10">
        <f>H148+J148</f>
        <v/>
      </c>
      <c r="L148" s="11" t="n">
        <v>0.65</v>
      </c>
      <c r="M148" s="10">
        <f>K148*(1+L148)</f>
        <v/>
      </c>
      <c r="N148" s="7" t="inlineStr">
        <is>
          <t>NOVO (Tabela Marfel V01JUN26)</t>
        </is>
      </c>
      <c r="O148" s="12" t="inlineStr">
        <is>
          <t>Sem custo cadastrado da Alquimia para esta gramatura — usado apenas o valor da Marfel.</t>
        </is>
      </c>
    </row>
    <row r="149">
      <c r="A149" s="6" t="inlineStr">
        <is>
          <t>Alça Camiseta</t>
        </is>
      </c>
      <c r="B149" s="7" t="inlineStr">
        <is>
          <t>90x100</t>
        </is>
      </c>
      <c r="C149" s="7" t="inlineStr">
        <is>
          <t>0,07</t>
        </is>
      </c>
      <c r="D149" s="7" t="inlineStr">
        <is>
          <t>500–599</t>
        </is>
      </c>
      <c r="E149" s="7" t="n">
        <v>500</v>
      </c>
      <c r="F149" s="8" t="n">
        <v>1.9152</v>
      </c>
      <c r="G149" s="8" t="n">
        <v>0</v>
      </c>
      <c r="H149" s="8" t="n">
        <v>1.9152</v>
      </c>
      <c r="I149" s="9" t="inlineStr">
        <is>
          <t>Marfel (unico)</t>
        </is>
      </c>
      <c r="J149" s="8" t="n">
        <v>0.3</v>
      </c>
      <c r="K149" s="10">
        <f>H149+J149</f>
        <v/>
      </c>
      <c r="L149" s="11" t="n">
        <v>0.6</v>
      </c>
      <c r="M149" s="10">
        <f>K149*(1+L149)</f>
        <v/>
      </c>
      <c r="N149" s="7" t="inlineStr">
        <is>
          <t>NOVO (Tabela Marfel V01JUN26)</t>
        </is>
      </c>
      <c r="O149" s="12" t="inlineStr">
        <is>
          <t>Sem custo cadastrado da Alquimia para esta gramatura — usado apenas o valor da Marfel.</t>
        </is>
      </c>
    </row>
    <row r="150">
      <c r="A150" s="6" t="inlineStr">
        <is>
          <t>Alça Camiseta</t>
        </is>
      </c>
      <c r="B150" s="7" t="inlineStr">
        <is>
          <t>90x100</t>
        </is>
      </c>
      <c r="C150" s="7" t="inlineStr">
        <is>
          <t>0,07</t>
        </is>
      </c>
      <c r="D150" s="7" t="inlineStr">
        <is>
          <t>600–699</t>
        </is>
      </c>
      <c r="E150" s="7" t="n">
        <v>600</v>
      </c>
      <c r="F150" s="8" t="n">
        <v>1.9152</v>
      </c>
      <c r="G150" s="8" t="n">
        <v>0</v>
      </c>
      <c r="H150" s="8" t="n">
        <v>1.9152</v>
      </c>
      <c r="I150" s="9" t="inlineStr">
        <is>
          <t>Marfel (unico)</t>
        </is>
      </c>
      <c r="J150" s="8" t="n">
        <v>0.3</v>
      </c>
      <c r="K150" s="10">
        <f>H150+J150</f>
        <v/>
      </c>
      <c r="L150" s="11" t="n">
        <v>0.57</v>
      </c>
      <c r="M150" s="10">
        <f>K150*(1+L150)</f>
        <v/>
      </c>
      <c r="N150" s="7" t="inlineStr">
        <is>
          <t>NOVO (Tabela Marfel V01JUN26)</t>
        </is>
      </c>
      <c r="O150" s="12" t="inlineStr">
        <is>
          <t>Sem custo cadastrado da Alquimia para esta gramatura — usado apenas o valor da Marfel.</t>
        </is>
      </c>
    </row>
    <row r="151">
      <c r="A151" s="6" t="inlineStr">
        <is>
          <t>Alça Camiseta</t>
        </is>
      </c>
      <c r="B151" s="7" t="inlineStr">
        <is>
          <t>90x100</t>
        </is>
      </c>
      <c r="C151" s="7" t="inlineStr">
        <is>
          <t>0,07</t>
        </is>
      </c>
      <c r="D151" s="7" t="inlineStr">
        <is>
          <t>700–799</t>
        </is>
      </c>
      <c r="E151" s="7" t="n">
        <v>700</v>
      </c>
      <c r="F151" s="8" t="n">
        <v>1.9152</v>
      </c>
      <c r="G151" s="8" t="n">
        <v>0</v>
      </c>
      <c r="H151" s="8" t="n">
        <v>1.9152</v>
      </c>
      <c r="I151" s="9" t="inlineStr">
        <is>
          <t>Marfel (unico)</t>
        </is>
      </c>
      <c r="J151" s="8" t="n">
        <v>0.3</v>
      </c>
      <c r="K151" s="10">
        <f>H151+J151</f>
        <v/>
      </c>
      <c r="L151" s="11" t="n">
        <v>0.54</v>
      </c>
      <c r="M151" s="10">
        <f>K151*(1+L151)</f>
        <v/>
      </c>
      <c r="N151" s="7" t="inlineStr">
        <is>
          <t>NOVO (Tabela Marfel V01JUN26)</t>
        </is>
      </c>
      <c r="O151" s="12" t="inlineStr">
        <is>
          <t>Sem custo cadastrado da Alquimia para esta gramatura — usado apenas o valor da Marfel.</t>
        </is>
      </c>
    </row>
    <row r="152">
      <c r="A152" s="6" t="inlineStr">
        <is>
          <t>Alça Camiseta</t>
        </is>
      </c>
      <c r="B152" s="7" t="inlineStr">
        <is>
          <t>90x100</t>
        </is>
      </c>
      <c r="C152" s="7" t="inlineStr">
        <is>
          <t>0,07</t>
        </is>
      </c>
      <c r="D152" s="7" t="inlineStr">
        <is>
          <t>800–899</t>
        </is>
      </c>
      <c r="E152" s="7" t="n">
        <v>800</v>
      </c>
      <c r="F152" s="8" t="n">
        <v>1.9152</v>
      </c>
      <c r="G152" s="8" t="n">
        <v>0</v>
      </c>
      <c r="H152" s="8" t="n">
        <v>1.9152</v>
      </c>
      <c r="I152" s="9" t="inlineStr">
        <is>
          <t>Marfel (unico)</t>
        </is>
      </c>
      <c r="J152" s="8" t="n">
        <v>0.3</v>
      </c>
      <c r="K152" s="10">
        <f>H152+J152</f>
        <v/>
      </c>
      <c r="L152" s="11" t="n">
        <v>0.51</v>
      </c>
      <c r="M152" s="10">
        <f>K152*(1+L152)</f>
        <v/>
      </c>
      <c r="N152" s="7" t="inlineStr">
        <is>
          <t>NOVO (Tabela Marfel V01JUN26)</t>
        </is>
      </c>
      <c r="O152" s="12" t="inlineStr">
        <is>
          <t>Sem custo cadastrado da Alquimia para esta gramatura — usado apenas o valor da Marfel.</t>
        </is>
      </c>
    </row>
    <row r="153">
      <c r="A153" s="6" t="inlineStr">
        <is>
          <t>Alça Camiseta</t>
        </is>
      </c>
      <c r="B153" s="7" t="inlineStr">
        <is>
          <t>90x100</t>
        </is>
      </c>
      <c r="C153" s="7" t="inlineStr">
        <is>
          <t>0,07</t>
        </is>
      </c>
      <c r="D153" s="7" t="inlineStr">
        <is>
          <t>900–999</t>
        </is>
      </c>
      <c r="E153" s="7" t="n">
        <v>900</v>
      </c>
      <c r="F153" s="8" t="n">
        <v>1.9152</v>
      </c>
      <c r="G153" s="8" t="n">
        <v>0</v>
      </c>
      <c r="H153" s="8" t="n">
        <v>1.9152</v>
      </c>
      <c r="I153" s="9" t="inlineStr">
        <is>
          <t>Marfel (unico)</t>
        </is>
      </c>
      <c r="J153" s="8" t="n">
        <v>0.3</v>
      </c>
      <c r="K153" s="10">
        <f>H153+J153</f>
        <v/>
      </c>
      <c r="L153" s="11" t="n">
        <v>0.48</v>
      </c>
      <c r="M153" s="10">
        <f>K153*(1+L153)</f>
        <v/>
      </c>
      <c r="N153" s="7" t="inlineStr">
        <is>
          <t>NOVO (Tabela Marfel V01JUN26)</t>
        </is>
      </c>
      <c r="O153" s="12" t="inlineStr">
        <is>
          <t>Sem custo cadastrado da Alquimia para esta gramatura — usado apenas o valor da Marfel.</t>
        </is>
      </c>
    </row>
    <row r="154">
      <c r="A154" s="6" t="inlineStr">
        <is>
          <t>Alça Camiseta</t>
        </is>
      </c>
      <c r="B154" s="7" t="inlineStr">
        <is>
          <t>90x100</t>
        </is>
      </c>
      <c r="C154" s="7" t="inlineStr">
        <is>
          <t>0,07</t>
        </is>
      </c>
      <c r="D154" s="7" t="inlineStr">
        <is>
          <t>1000+</t>
        </is>
      </c>
      <c r="E154" s="7" t="n">
        <v>1000</v>
      </c>
      <c r="F154" s="8" t="n">
        <v>1.9152</v>
      </c>
      <c r="G154" s="8" t="n">
        <v>0</v>
      </c>
      <c r="H154" s="8" t="n">
        <v>1.9152</v>
      </c>
      <c r="I154" s="9" t="inlineStr">
        <is>
          <t>Marfel (unico)</t>
        </is>
      </c>
      <c r="J154" s="8" t="n">
        <v>0.3</v>
      </c>
      <c r="K154" s="10">
        <f>H154+J154</f>
        <v/>
      </c>
      <c r="L154" s="11" t="n">
        <v>0.4</v>
      </c>
      <c r="M154" s="10">
        <f>K154*(1+L154)</f>
        <v/>
      </c>
      <c r="N154" s="7" t="inlineStr">
        <is>
          <t>NOVO (Tabela Marfel V01JUN26)</t>
        </is>
      </c>
      <c r="O154" s="12" t="inlineStr">
        <is>
          <t>Sem custo cadastrado da Alquimia para esta gramatura — usado apenas o valor da Marfel.</t>
        </is>
      </c>
    </row>
    <row r="155">
      <c r="A155" s="13" t="inlineStr">
        <is>
          <t>Alça Fita</t>
        </is>
      </c>
      <c r="B155" s="14" t="inlineStr">
        <is>
          <t>27x40</t>
        </is>
      </c>
      <c r="C155" s="14" t="inlineStr">
        <is>
          <t>0,15</t>
        </is>
      </c>
      <c r="D155" s="14" t="inlineStr">
        <is>
          <t>100–199</t>
        </is>
      </c>
      <c r="E155" s="14" t="n">
        <v>100</v>
      </c>
      <c r="F155" s="15" t="n">
        <v>0.8208</v>
      </c>
      <c r="G155" s="15" t="n">
        <v>0.5681</v>
      </c>
      <c r="H155" s="15" t="n">
        <v>0.8208</v>
      </c>
      <c r="I155" s="16" t="inlineStr">
        <is>
          <t>Marfel</t>
        </is>
      </c>
      <c r="J155" s="15" t="n">
        <v>0.3</v>
      </c>
      <c r="K155" s="17">
        <f>H155+J155</f>
        <v/>
      </c>
      <c r="L155" s="18" t="n">
        <v>1</v>
      </c>
      <c r="M155" s="17">
        <f>K155*(1+L155)</f>
        <v/>
      </c>
      <c r="N155" s="14" t="inlineStr">
        <is>
          <t>já existia</t>
        </is>
      </c>
      <c r="O155" s="19" t="inlineStr"/>
    </row>
    <row r="156">
      <c r="A156" s="13" t="inlineStr">
        <is>
          <t>Alça Fita</t>
        </is>
      </c>
      <c r="B156" s="14" t="inlineStr">
        <is>
          <t>27x40</t>
        </is>
      </c>
      <c r="C156" s="14" t="inlineStr">
        <is>
          <t>0,15</t>
        </is>
      </c>
      <c r="D156" s="14" t="inlineStr">
        <is>
          <t>200–299</t>
        </is>
      </c>
      <c r="E156" s="14" t="n">
        <v>200</v>
      </c>
      <c r="F156" s="15" t="n">
        <v>0.8208</v>
      </c>
      <c r="G156" s="15" t="n">
        <v>0.5681</v>
      </c>
      <c r="H156" s="15" t="n">
        <v>0.8208</v>
      </c>
      <c r="I156" s="16" t="inlineStr">
        <is>
          <t>Marfel</t>
        </is>
      </c>
      <c r="J156" s="15" t="n">
        <v>0.3</v>
      </c>
      <c r="K156" s="17">
        <f>H156+J156</f>
        <v/>
      </c>
      <c r="L156" s="18" t="n">
        <v>0.75</v>
      </c>
      <c r="M156" s="17">
        <f>K156*(1+L156)</f>
        <v/>
      </c>
      <c r="N156" s="14" t="inlineStr">
        <is>
          <t>já existia</t>
        </is>
      </c>
      <c r="O156" s="19" t="inlineStr"/>
    </row>
    <row r="157">
      <c r="A157" s="13" t="inlineStr">
        <is>
          <t>Alça Fita</t>
        </is>
      </c>
      <c r="B157" s="14" t="inlineStr">
        <is>
          <t>27x40</t>
        </is>
      </c>
      <c r="C157" s="14" t="inlineStr">
        <is>
          <t>0,15</t>
        </is>
      </c>
      <c r="D157" s="14" t="inlineStr">
        <is>
          <t>300–399</t>
        </is>
      </c>
      <c r="E157" s="14" t="n">
        <v>300</v>
      </c>
      <c r="F157" s="15" t="n">
        <v>0.8208</v>
      </c>
      <c r="G157" s="15" t="n">
        <v>0.5681</v>
      </c>
      <c r="H157" s="15" t="n">
        <v>0.8208</v>
      </c>
      <c r="I157" s="16" t="inlineStr">
        <is>
          <t>Marfel</t>
        </is>
      </c>
      <c r="J157" s="15" t="n">
        <v>0.3</v>
      </c>
      <c r="K157" s="17">
        <f>H157+J157</f>
        <v/>
      </c>
      <c r="L157" s="18" t="n">
        <v>0.7</v>
      </c>
      <c r="M157" s="17">
        <f>K157*(1+L157)</f>
        <v/>
      </c>
      <c r="N157" s="14" t="inlineStr">
        <is>
          <t>já existia</t>
        </is>
      </c>
      <c r="O157" s="19" t="inlineStr"/>
    </row>
    <row r="158">
      <c r="A158" s="13" t="inlineStr">
        <is>
          <t>Alça Fita</t>
        </is>
      </c>
      <c r="B158" s="14" t="inlineStr">
        <is>
          <t>27x40</t>
        </is>
      </c>
      <c r="C158" s="14" t="inlineStr">
        <is>
          <t>0,15</t>
        </is>
      </c>
      <c r="D158" s="14" t="inlineStr">
        <is>
          <t>400–499</t>
        </is>
      </c>
      <c r="E158" s="14" t="n">
        <v>400</v>
      </c>
      <c r="F158" s="15" t="n">
        <v>0.8208</v>
      </c>
      <c r="G158" s="15" t="n">
        <v>0.5681</v>
      </c>
      <c r="H158" s="15" t="n">
        <v>0.8208</v>
      </c>
      <c r="I158" s="16" t="inlineStr">
        <is>
          <t>Marfel</t>
        </is>
      </c>
      <c r="J158" s="15" t="n">
        <v>0.3</v>
      </c>
      <c r="K158" s="17">
        <f>H158+J158</f>
        <v/>
      </c>
      <c r="L158" s="18" t="n">
        <v>0.65</v>
      </c>
      <c r="M158" s="17">
        <f>K158*(1+L158)</f>
        <v/>
      </c>
      <c r="N158" s="14" t="inlineStr">
        <is>
          <t>já existia</t>
        </is>
      </c>
      <c r="O158" s="19" t="inlineStr"/>
    </row>
    <row r="159">
      <c r="A159" s="13" t="inlineStr">
        <is>
          <t>Alça Fita</t>
        </is>
      </c>
      <c r="B159" s="14" t="inlineStr">
        <is>
          <t>27x40</t>
        </is>
      </c>
      <c r="C159" s="14" t="inlineStr">
        <is>
          <t>0,15</t>
        </is>
      </c>
      <c r="D159" s="14" t="inlineStr">
        <is>
          <t>500–599</t>
        </is>
      </c>
      <c r="E159" s="14" t="n">
        <v>500</v>
      </c>
      <c r="F159" s="15" t="n">
        <v>0.8208</v>
      </c>
      <c r="G159" s="15" t="n">
        <v>0.5681</v>
      </c>
      <c r="H159" s="15" t="n">
        <v>0.8208</v>
      </c>
      <c r="I159" s="16" t="inlineStr">
        <is>
          <t>Marfel</t>
        </is>
      </c>
      <c r="J159" s="15" t="n">
        <v>0.3</v>
      </c>
      <c r="K159" s="17">
        <f>H159+J159</f>
        <v/>
      </c>
      <c r="L159" s="18" t="n">
        <v>0.6</v>
      </c>
      <c r="M159" s="17">
        <f>K159*(1+L159)</f>
        <v/>
      </c>
      <c r="N159" s="14" t="inlineStr">
        <is>
          <t>já existia</t>
        </is>
      </c>
      <c r="O159" s="19" t="inlineStr"/>
    </row>
    <row r="160">
      <c r="A160" s="13" t="inlineStr">
        <is>
          <t>Alça Fita</t>
        </is>
      </c>
      <c r="B160" s="14" t="inlineStr">
        <is>
          <t>27x40</t>
        </is>
      </c>
      <c r="C160" s="14" t="inlineStr">
        <is>
          <t>0,15</t>
        </is>
      </c>
      <c r="D160" s="14" t="inlineStr">
        <is>
          <t>600–699</t>
        </is>
      </c>
      <c r="E160" s="14" t="n">
        <v>600</v>
      </c>
      <c r="F160" s="15" t="n">
        <v>0.8208</v>
      </c>
      <c r="G160" s="15" t="n">
        <v>0.5681</v>
      </c>
      <c r="H160" s="15" t="n">
        <v>0.8208</v>
      </c>
      <c r="I160" s="16" t="inlineStr">
        <is>
          <t>Marfel</t>
        </is>
      </c>
      <c r="J160" s="15" t="n">
        <v>0.3</v>
      </c>
      <c r="K160" s="17">
        <f>H160+J160</f>
        <v/>
      </c>
      <c r="L160" s="18" t="n">
        <v>0.57</v>
      </c>
      <c r="M160" s="17">
        <f>K160*(1+L160)</f>
        <v/>
      </c>
      <c r="N160" s="14" t="inlineStr">
        <is>
          <t>já existia</t>
        </is>
      </c>
      <c r="O160" s="19" t="inlineStr"/>
    </row>
    <row r="161">
      <c r="A161" s="13" t="inlineStr">
        <is>
          <t>Alça Fita</t>
        </is>
      </c>
      <c r="B161" s="14" t="inlineStr">
        <is>
          <t>27x40</t>
        </is>
      </c>
      <c r="C161" s="14" t="inlineStr">
        <is>
          <t>0,15</t>
        </is>
      </c>
      <c r="D161" s="14" t="inlineStr">
        <is>
          <t>700–799</t>
        </is>
      </c>
      <c r="E161" s="14" t="n">
        <v>700</v>
      </c>
      <c r="F161" s="15" t="n">
        <v>0.8208</v>
      </c>
      <c r="G161" s="15" t="n">
        <v>0.5681</v>
      </c>
      <c r="H161" s="15" t="n">
        <v>0.8208</v>
      </c>
      <c r="I161" s="16" t="inlineStr">
        <is>
          <t>Marfel</t>
        </is>
      </c>
      <c r="J161" s="15" t="n">
        <v>0.3</v>
      </c>
      <c r="K161" s="17">
        <f>H161+J161</f>
        <v/>
      </c>
      <c r="L161" s="18" t="n">
        <v>0.54</v>
      </c>
      <c r="M161" s="17">
        <f>K161*(1+L161)</f>
        <v/>
      </c>
      <c r="N161" s="14" t="inlineStr">
        <is>
          <t>já existia</t>
        </is>
      </c>
      <c r="O161" s="19" t="inlineStr"/>
    </row>
    <row r="162">
      <c r="A162" s="13" t="inlineStr">
        <is>
          <t>Alça Fita</t>
        </is>
      </c>
      <c r="B162" s="14" t="inlineStr">
        <is>
          <t>27x40</t>
        </is>
      </c>
      <c r="C162" s="14" t="inlineStr">
        <is>
          <t>0,15</t>
        </is>
      </c>
      <c r="D162" s="14" t="inlineStr">
        <is>
          <t>800–899</t>
        </is>
      </c>
      <c r="E162" s="14" t="n">
        <v>800</v>
      </c>
      <c r="F162" s="15" t="n">
        <v>0.8208</v>
      </c>
      <c r="G162" s="15" t="n">
        <v>0.5681</v>
      </c>
      <c r="H162" s="15" t="n">
        <v>0.8208</v>
      </c>
      <c r="I162" s="16" t="inlineStr">
        <is>
          <t>Marfel</t>
        </is>
      </c>
      <c r="J162" s="15" t="n">
        <v>0.3</v>
      </c>
      <c r="K162" s="17">
        <f>H162+J162</f>
        <v/>
      </c>
      <c r="L162" s="18" t="n">
        <v>0.51</v>
      </c>
      <c r="M162" s="17">
        <f>K162*(1+L162)</f>
        <v/>
      </c>
      <c r="N162" s="14" t="inlineStr">
        <is>
          <t>já existia</t>
        </is>
      </c>
      <c r="O162" s="19" t="inlineStr"/>
    </row>
    <row r="163">
      <c r="A163" s="13" t="inlineStr">
        <is>
          <t>Alça Fita</t>
        </is>
      </c>
      <c r="B163" s="14" t="inlineStr">
        <is>
          <t>27x40</t>
        </is>
      </c>
      <c r="C163" s="14" t="inlineStr">
        <is>
          <t>0,15</t>
        </is>
      </c>
      <c r="D163" s="14" t="inlineStr">
        <is>
          <t>900–999</t>
        </is>
      </c>
      <c r="E163" s="14" t="n">
        <v>900</v>
      </c>
      <c r="F163" s="15" t="n">
        <v>0.8208</v>
      </c>
      <c r="G163" s="15" t="n">
        <v>0.5681</v>
      </c>
      <c r="H163" s="15" t="n">
        <v>0.8208</v>
      </c>
      <c r="I163" s="16" t="inlineStr">
        <is>
          <t>Marfel</t>
        </is>
      </c>
      <c r="J163" s="15" t="n">
        <v>0.3</v>
      </c>
      <c r="K163" s="17">
        <f>H163+J163</f>
        <v/>
      </c>
      <c r="L163" s="18" t="n">
        <v>0.48</v>
      </c>
      <c r="M163" s="17">
        <f>K163*(1+L163)</f>
        <v/>
      </c>
      <c r="N163" s="14" t="inlineStr">
        <is>
          <t>já existia</t>
        </is>
      </c>
      <c r="O163" s="19" t="inlineStr"/>
    </row>
    <row r="164">
      <c r="A164" s="13" t="inlineStr">
        <is>
          <t>Alça Fita</t>
        </is>
      </c>
      <c r="B164" s="14" t="inlineStr">
        <is>
          <t>27x40</t>
        </is>
      </c>
      <c r="C164" s="14" t="inlineStr">
        <is>
          <t>0,15</t>
        </is>
      </c>
      <c r="D164" s="14" t="inlineStr">
        <is>
          <t>1000+</t>
        </is>
      </c>
      <c r="E164" s="14" t="n">
        <v>1000</v>
      </c>
      <c r="F164" s="15" t="n">
        <v>0.8208</v>
      </c>
      <c r="G164" s="15" t="n">
        <v>0.5681</v>
      </c>
      <c r="H164" s="15" t="n">
        <v>0.8208</v>
      </c>
      <c r="I164" s="16" t="inlineStr">
        <is>
          <t>Marfel</t>
        </is>
      </c>
      <c r="J164" s="15" t="n">
        <v>0.3</v>
      </c>
      <c r="K164" s="17">
        <f>H164+J164</f>
        <v/>
      </c>
      <c r="L164" s="18" t="n">
        <v>0.4</v>
      </c>
      <c r="M164" s="17">
        <f>K164*(1+L164)</f>
        <v/>
      </c>
      <c r="N164" s="14" t="inlineStr">
        <is>
          <t>já existia</t>
        </is>
      </c>
      <c r="O164" s="19" t="inlineStr"/>
    </row>
    <row r="165">
      <c r="A165" s="6" t="inlineStr">
        <is>
          <t>Alça Fita</t>
        </is>
      </c>
      <c r="B165" s="7" t="inlineStr">
        <is>
          <t>30x45</t>
        </is>
      </c>
      <c r="C165" s="7" t="inlineStr">
        <is>
          <t>0,13</t>
        </is>
      </c>
      <c r="D165" s="7" t="inlineStr">
        <is>
          <t>100–199</t>
        </is>
      </c>
      <c r="E165" s="7" t="n">
        <v>100</v>
      </c>
      <c r="F165" s="8" t="n">
        <v>0.774</v>
      </c>
      <c r="G165" s="8" t="n">
        <v>0</v>
      </c>
      <c r="H165" s="8" t="n">
        <v>0.774</v>
      </c>
      <c r="I165" s="9" t="inlineStr">
        <is>
          <t>Marfel (unico)</t>
        </is>
      </c>
      <c r="J165" s="8" t="n">
        <v>0.3</v>
      </c>
      <c r="K165" s="10">
        <f>H165+J165</f>
        <v/>
      </c>
      <c r="L165" s="11" t="n">
        <v>1</v>
      </c>
      <c r="M165" s="10">
        <f>K165*(1+L165)</f>
        <v/>
      </c>
      <c r="N165" s="7" t="inlineStr">
        <is>
          <t>já existia</t>
        </is>
      </c>
      <c r="O165" s="12" t="inlineStr">
        <is>
          <t>Sem custo cadastrado da Alquimia para esta gramatura — usado apenas o valor da Marfel.</t>
        </is>
      </c>
    </row>
    <row r="166">
      <c r="A166" s="6" t="inlineStr">
        <is>
          <t>Alça Fita</t>
        </is>
      </c>
      <c r="B166" s="7" t="inlineStr">
        <is>
          <t>30x45</t>
        </is>
      </c>
      <c r="C166" s="7" t="inlineStr">
        <is>
          <t>0,13</t>
        </is>
      </c>
      <c r="D166" s="7" t="inlineStr">
        <is>
          <t>200–299</t>
        </is>
      </c>
      <c r="E166" s="7" t="n">
        <v>200</v>
      </c>
      <c r="F166" s="8" t="n">
        <v>0.774</v>
      </c>
      <c r="G166" s="8" t="n">
        <v>0</v>
      </c>
      <c r="H166" s="8" t="n">
        <v>0.774</v>
      </c>
      <c r="I166" s="9" t="inlineStr">
        <is>
          <t>Marfel (unico)</t>
        </is>
      </c>
      <c r="J166" s="8" t="n">
        <v>0.3</v>
      </c>
      <c r="K166" s="10">
        <f>H166+J166</f>
        <v/>
      </c>
      <c r="L166" s="11" t="n">
        <v>0.75</v>
      </c>
      <c r="M166" s="10">
        <f>K166*(1+L166)</f>
        <v/>
      </c>
      <c r="N166" s="7" t="inlineStr">
        <is>
          <t>já existia</t>
        </is>
      </c>
      <c r="O166" s="12" t="inlineStr">
        <is>
          <t>Sem custo cadastrado da Alquimia para esta gramatura — usado apenas o valor da Marfel.</t>
        </is>
      </c>
    </row>
    <row r="167">
      <c r="A167" s="6" t="inlineStr">
        <is>
          <t>Alça Fita</t>
        </is>
      </c>
      <c r="B167" s="7" t="inlineStr">
        <is>
          <t>30x45</t>
        </is>
      </c>
      <c r="C167" s="7" t="inlineStr">
        <is>
          <t>0,13</t>
        </is>
      </c>
      <c r="D167" s="7" t="inlineStr">
        <is>
          <t>300–399</t>
        </is>
      </c>
      <c r="E167" s="7" t="n">
        <v>300</v>
      </c>
      <c r="F167" s="8" t="n">
        <v>0.774</v>
      </c>
      <c r="G167" s="8" t="n">
        <v>0</v>
      </c>
      <c r="H167" s="8" t="n">
        <v>0.774</v>
      </c>
      <c r="I167" s="9" t="inlineStr">
        <is>
          <t>Marfel (unico)</t>
        </is>
      </c>
      <c r="J167" s="8" t="n">
        <v>0.3</v>
      </c>
      <c r="K167" s="10">
        <f>H167+J167</f>
        <v/>
      </c>
      <c r="L167" s="11" t="n">
        <v>0.7</v>
      </c>
      <c r="M167" s="10">
        <f>K167*(1+L167)</f>
        <v/>
      </c>
      <c r="N167" s="7" t="inlineStr">
        <is>
          <t>já existia</t>
        </is>
      </c>
      <c r="O167" s="12" t="inlineStr">
        <is>
          <t>Sem custo cadastrado da Alquimia para esta gramatura — usado apenas o valor da Marfel.</t>
        </is>
      </c>
    </row>
    <row r="168">
      <c r="A168" s="6" t="inlineStr">
        <is>
          <t>Alça Fita</t>
        </is>
      </c>
      <c r="B168" s="7" t="inlineStr">
        <is>
          <t>30x45</t>
        </is>
      </c>
      <c r="C168" s="7" t="inlineStr">
        <is>
          <t>0,13</t>
        </is>
      </c>
      <c r="D168" s="7" t="inlineStr">
        <is>
          <t>400–499</t>
        </is>
      </c>
      <c r="E168" s="7" t="n">
        <v>400</v>
      </c>
      <c r="F168" s="8" t="n">
        <v>0.774</v>
      </c>
      <c r="G168" s="8" t="n">
        <v>0</v>
      </c>
      <c r="H168" s="8" t="n">
        <v>0.774</v>
      </c>
      <c r="I168" s="9" t="inlineStr">
        <is>
          <t>Marfel (unico)</t>
        </is>
      </c>
      <c r="J168" s="8" t="n">
        <v>0.3</v>
      </c>
      <c r="K168" s="10">
        <f>H168+J168</f>
        <v/>
      </c>
      <c r="L168" s="11" t="n">
        <v>0.65</v>
      </c>
      <c r="M168" s="10">
        <f>K168*(1+L168)</f>
        <v/>
      </c>
      <c r="N168" s="7" t="inlineStr">
        <is>
          <t>já existia</t>
        </is>
      </c>
      <c r="O168" s="12" t="inlineStr">
        <is>
          <t>Sem custo cadastrado da Alquimia para esta gramatura — usado apenas o valor da Marfel.</t>
        </is>
      </c>
    </row>
    <row r="169">
      <c r="A169" s="6" t="inlineStr">
        <is>
          <t>Alça Fita</t>
        </is>
      </c>
      <c r="B169" s="7" t="inlineStr">
        <is>
          <t>30x45</t>
        </is>
      </c>
      <c r="C169" s="7" t="inlineStr">
        <is>
          <t>0,13</t>
        </is>
      </c>
      <c r="D169" s="7" t="inlineStr">
        <is>
          <t>500–599</t>
        </is>
      </c>
      <c r="E169" s="7" t="n">
        <v>500</v>
      </c>
      <c r="F169" s="8" t="n">
        <v>0.774</v>
      </c>
      <c r="G169" s="8" t="n">
        <v>0</v>
      </c>
      <c r="H169" s="8" t="n">
        <v>0.774</v>
      </c>
      <c r="I169" s="9" t="inlineStr">
        <is>
          <t>Marfel (unico)</t>
        </is>
      </c>
      <c r="J169" s="8" t="n">
        <v>0.3</v>
      </c>
      <c r="K169" s="10">
        <f>H169+J169</f>
        <v/>
      </c>
      <c r="L169" s="11" t="n">
        <v>0.6</v>
      </c>
      <c r="M169" s="10">
        <f>K169*(1+L169)</f>
        <v/>
      </c>
      <c r="N169" s="7" t="inlineStr">
        <is>
          <t>já existia</t>
        </is>
      </c>
      <c r="O169" s="12" t="inlineStr">
        <is>
          <t>Sem custo cadastrado da Alquimia para esta gramatura — usado apenas o valor da Marfel.</t>
        </is>
      </c>
    </row>
    <row r="170">
      <c r="A170" s="6" t="inlineStr">
        <is>
          <t>Alça Fita</t>
        </is>
      </c>
      <c r="B170" s="7" t="inlineStr">
        <is>
          <t>30x45</t>
        </is>
      </c>
      <c r="C170" s="7" t="inlineStr">
        <is>
          <t>0,13</t>
        </is>
      </c>
      <c r="D170" s="7" t="inlineStr">
        <is>
          <t>600–699</t>
        </is>
      </c>
      <c r="E170" s="7" t="n">
        <v>600</v>
      </c>
      <c r="F170" s="8" t="n">
        <v>0.774</v>
      </c>
      <c r="G170" s="8" t="n">
        <v>0</v>
      </c>
      <c r="H170" s="8" t="n">
        <v>0.774</v>
      </c>
      <c r="I170" s="9" t="inlineStr">
        <is>
          <t>Marfel (unico)</t>
        </is>
      </c>
      <c r="J170" s="8" t="n">
        <v>0.3</v>
      </c>
      <c r="K170" s="10">
        <f>H170+J170</f>
        <v/>
      </c>
      <c r="L170" s="11" t="n">
        <v>0.57</v>
      </c>
      <c r="M170" s="10">
        <f>K170*(1+L170)</f>
        <v/>
      </c>
      <c r="N170" s="7" t="inlineStr">
        <is>
          <t>já existia</t>
        </is>
      </c>
      <c r="O170" s="12" t="inlineStr">
        <is>
          <t>Sem custo cadastrado da Alquimia para esta gramatura — usado apenas o valor da Marfel.</t>
        </is>
      </c>
    </row>
    <row r="171">
      <c r="A171" s="6" t="inlineStr">
        <is>
          <t>Alça Fita</t>
        </is>
      </c>
      <c r="B171" s="7" t="inlineStr">
        <is>
          <t>30x45</t>
        </is>
      </c>
      <c r="C171" s="7" t="inlineStr">
        <is>
          <t>0,13</t>
        </is>
      </c>
      <c r="D171" s="7" t="inlineStr">
        <is>
          <t>700–799</t>
        </is>
      </c>
      <c r="E171" s="7" t="n">
        <v>700</v>
      </c>
      <c r="F171" s="8" t="n">
        <v>0.774</v>
      </c>
      <c r="G171" s="8" t="n">
        <v>0</v>
      </c>
      <c r="H171" s="8" t="n">
        <v>0.774</v>
      </c>
      <c r="I171" s="9" t="inlineStr">
        <is>
          <t>Marfel (unico)</t>
        </is>
      </c>
      <c r="J171" s="8" t="n">
        <v>0.3</v>
      </c>
      <c r="K171" s="10">
        <f>H171+J171</f>
        <v/>
      </c>
      <c r="L171" s="11" t="n">
        <v>0.54</v>
      </c>
      <c r="M171" s="10">
        <f>K171*(1+L171)</f>
        <v/>
      </c>
      <c r="N171" s="7" t="inlineStr">
        <is>
          <t>já existia</t>
        </is>
      </c>
      <c r="O171" s="12" t="inlineStr">
        <is>
          <t>Sem custo cadastrado da Alquimia para esta gramatura — usado apenas o valor da Marfel.</t>
        </is>
      </c>
    </row>
    <row r="172">
      <c r="A172" s="6" t="inlineStr">
        <is>
          <t>Alça Fita</t>
        </is>
      </c>
      <c r="B172" s="7" t="inlineStr">
        <is>
          <t>30x45</t>
        </is>
      </c>
      <c r="C172" s="7" t="inlineStr">
        <is>
          <t>0,13</t>
        </is>
      </c>
      <c r="D172" s="7" t="inlineStr">
        <is>
          <t>800–899</t>
        </is>
      </c>
      <c r="E172" s="7" t="n">
        <v>800</v>
      </c>
      <c r="F172" s="8" t="n">
        <v>0.774</v>
      </c>
      <c r="G172" s="8" t="n">
        <v>0</v>
      </c>
      <c r="H172" s="8" t="n">
        <v>0.774</v>
      </c>
      <c r="I172" s="9" t="inlineStr">
        <is>
          <t>Marfel (unico)</t>
        </is>
      </c>
      <c r="J172" s="8" t="n">
        <v>0.3</v>
      </c>
      <c r="K172" s="10">
        <f>H172+J172</f>
        <v/>
      </c>
      <c r="L172" s="11" t="n">
        <v>0.51</v>
      </c>
      <c r="M172" s="10">
        <f>K172*(1+L172)</f>
        <v/>
      </c>
      <c r="N172" s="7" t="inlineStr">
        <is>
          <t>já existia</t>
        </is>
      </c>
      <c r="O172" s="12" t="inlineStr">
        <is>
          <t>Sem custo cadastrado da Alquimia para esta gramatura — usado apenas o valor da Marfel.</t>
        </is>
      </c>
    </row>
    <row r="173">
      <c r="A173" s="6" t="inlineStr">
        <is>
          <t>Alça Fita</t>
        </is>
      </c>
      <c r="B173" s="7" t="inlineStr">
        <is>
          <t>30x45</t>
        </is>
      </c>
      <c r="C173" s="7" t="inlineStr">
        <is>
          <t>0,13</t>
        </is>
      </c>
      <c r="D173" s="7" t="inlineStr">
        <is>
          <t>900–999</t>
        </is>
      </c>
      <c r="E173" s="7" t="n">
        <v>900</v>
      </c>
      <c r="F173" s="8" t="n">
        <v>0.774</v>
      </c>
      <c r="G173" s="8" t="n">
        <v>0</v>
      </c>
      <c r="H173" s="8" t="n">
        <v>0.774</v>
      </c>
      <c r="I173" s="9" t="inlineStr">
        <is>
          <t>Marfel (unico)</t>
        </is>
      </c>
      <c r="J173" s="8" t="n">
        <v>0.3</v>
      </c>
      <c r="K173" s="10">
        <f>H173+J173</f>
        <v/>
      </c>
      <c r="L173" s="11" t="n">
        <v>0.48</v>
      </c>
      <c r="M173" s="10">
        <f>K173*(1+L173)</f>
        <v/>
      </c>
      <c r="N173" s="7" t="inlineStr">
        <is>
          <t>já existia</t>
        </is>
      </c>
      <c r="O173" s="12" t="inlineStr">
        <is>
          <t>Sem custo cadastrado da Alquimia para esta gramatura — usado apenas o valor da Marfel.</t>
        </is>
      </c>
    </row>
    <row r="174">
      <c r="A174" s="6" t="inlineStr">
        <is>
          <t>Alça Fita</t>
        </is>
      </c>
      <c r="B174" s="7" t="inlineStr">
        <is>
          <t>30x45</t>
        </is>
      </c>
      <c r="C174" s="7" t="inlineStr">
        <is>
          <t>0,13</t>
        </is>
      </c>
      <c r="D174" s="7" t="inlineStr">
        <is>
          <t>1000+</t>
        </is>
      </c>
      <c r="E174" s="7" t="n">
        <v>1000</v>
      </c>
      <c r="F174" s="8" t="n">
        <v>0.774</v>
      </c>
      <c r="G174" s="8" t="n">
        <v>0</v>
      </c>
      <c r="H174" s="8" t="n">
        <v>0.774</v>
      </c>
      <c r="I174" s="9" t="inlineStr">
        <is>
          <t>Marfel (unico)</t>
        </is>
      </c>
      <c r="J174" s="8" t="n">
        <v>0.3</v>
      </c>
      <c r="K174" s="10">
        <f>H174+J174</f>
        <v/>
      </c>
      <c r="L174" s="11" t="n">
        <v>0.4</v>
      </c>
      <c r="M174" s="10">
        <f>K174*(1+L174)</f>
        <v/>
      </c>
      <c r="N174" s="7" t="inlineStr">
        <is>
          <t>já existia</t>
        </is>
      </c>
      <c r="O174" s="12" t="inlineStr">
        <is>
          <t>Sem custo cadastrado da Alquimia para esta gramatura — usado apenas o valor da Marfel.</t>
        </is>
      </c>
    </row>
    <row r="175">
      <c r="A175" s="13" t="inlineStr">
        <is>
          <t>Alça Fita</t>
        </is>
      </c>
      <c r="B175" s="14" t="inlineStr">
        <is>
          <t>30x45</t>
        </is>
      </c>
      <c r="C175" s="14" t="inlineStr">
        <is>
          <t>0,15</t>
        </is>
      </c>
      <c r="D175" s="14" t="inlineStr">
        <is>
          <t>100–199</t>
        </is>
      </c>
      <c r="E175" s="14" t="n">
        <v>100</v>
      </c>
      <c r="F175" s="15" t="n">
        <v>1.04544</v>
      </c>
      <c r="G175" s="15" t="n">
        <v>0.6877</v>
      </c>
      <c r="H175" s="15" t="n">
        <v>1.04544</v>
      </c>
      <c r="I175" s="16" t="inlineStr">
        <is>
          <t>Marfel</t>
        </is>
      </c>
      <c r="J175" s="15" t="n">
        <v>0.3</v>
      </c>
      <c r="K175" s="17">
        <f>H175+J175</f>
        <v/>
      </c>
      <c r="L175" s="18" t="n">
        <v>1</v>
      </c>
      <c r="M175" s="17">
        <f>K175*(1+L175)</f>
        <v/>
      </c>
      <c r="N175" s="14" t="inlineStr">
        <is>
          <t>já existia</t>
        </is>
      </c>
      <c r="O175" s="19" t="inlineStr"/>
    </row>
    <row r="176">
      <c r="A176" s="13" t="inlineStr">
        <is>
          <t>Alça Fita</t>
        </is>
      </c>
      <c r="B176" s="14" t="inlineStr">
        <is>
          <t>30x45</t>
        </is>
      </c>
      <c r="C176" s="14" t="inlineStr">
        <is>
          <t>0,15</t>
        </is>
      </c>
      <c r="D176" s="14" t="inlineStr">
        <is>
          <t>200–299</t>
        </is>
      </c>
      <c r="E176" s="14" t="n">
        <v>200</v>
      </c>
      <c r="F176" s="15" t="n">
        <v>1.04544</v>
      </c>
      <c r="G176" s="15" t="n">
        <v>0.6877</v>
      </c>
      <c r="H176" s="15" t="n">
        <v>1.04544</v>
      </c>
      <c r="I176" s="16" t="inlineStr">
        <is>
          <t>Marfel</t>
        </is>
      </c>
      <c r="J176" s="15" t="n">
        <v>0.3</v>
      </c>
      <c r="K176" s="17">
        <f>H176+J176</f>
        <v/>
      </c>
      <c r="L176" s="18" t="n">
        <v>0.75</v>
      </c>
      <c r="M176" s="17">
        <f>K176*(1+L176)</f>
        <v/>
      </c>
      <c r="N176" s="14" t="inlineStr">
        <is>
          <t>já existia</t>
        </is>
      </c>
      <c r="O176" s="19" t="inlineStr"/>
    </row>
    <row r="177">
      <c r="A177" s="13" t="inlineStr">
        <is>
          <t>Alça Fita</t>
        </is>
      </c>
      <c r="B177" s="14" t="inlineStr">
        <is>
          <t>30x45</t>
        </is>
      </c>
      <c r="C177" s="14" t="inlineStr">
        <is>
          <t>0,15</t>
        </is>
      </c>
      <c r="D177" s="14" t="inlineStr">
        <is>
          <t>300–399</t>
        </is>
      </c>
      <c r="E177" s="14" t="n">
        <v>300</v>
      </c>
      <c r="F177" s="15" t="n">
        <v>1.04544</v>
      </c>
      <c r="G177" s="15" t="n">
        <v>0.6877</v>
      </c>
      <c r="H177" s="15" t="n">
        <v>1.04544</v>
      </c>
      <c r="I177" s="16" t="inlineStr">
        <is>
          <t>Marfel</t>
        </is>
      </c>
      <c r="J177" s="15" t="n">
        <v>0.3</v>
      </c>
      <c r="K177" s="17">
        <f>H177+J177</f>
        <v/>
      </c>
      <c r="L177" s="18" t="n">
        <v>0.7</v>
      </c>
      <c r="M177" s="17">
        <f>K177*(1+L177)</f>
        <v/>
      </c>
      <c r="N177" s="14" t="inlineStr">
        <is>
          <t>já existia</t>
        </is>
      </c>
      <c r="O177" s="19" t="inlineStr"/>
    </row>
    <row r="178">
      <c r="A178" s="13" t="inlineStr">
        <is>
          <t>Alça Fita</t>
        </is>
      </c>
      <c r="B178" s="14" t="inlineStr">
        <is>
          <t>30x45</t>
        </is>
      </c>
      <c r="C178" s="14" t="inlineStr">
        <is>
          <t>0,15</t>
        </is>
      </c>
      <c r="D178" s="14" t="inlineStr">
        <is>
          <t>400–499</t>
        </is>
      </c>
      <c r="E178" s="14" t="n">
        <v>400</v>
      </c>
      <c r="F178" s="15" t="n">
        <v>1.04544</v>
      </c>
      <c r="G178" s="15" t="n">
        <v>0.6877</v>
      </c>
      <c r="H178" s="15" t="n">
        <v>1.04544</v>
      </c>
      <c r="I178" s="16" t="inlineStr">
        <is>
          <t>Marfel</t>
        </is>
      </c>
      <c r="J178" s="15" t="n">
        <v>0.3</v>
      </c>
      <c r="K178" s="17">
        <f>H178+J178</f>
        <v/>
      </c>
      <c r="L178" s="18" t="n">
        <v>0.65</v>
      </c>
      <c r="M178" s="17">
        <f>K178*(1+L178)</f>
        <v/>
      </c>
      <c r="N178" s="14" t="inlineStr">
        <is>
          <t>já existia</t>
        </is>
      </c>
      <c r="O178" s="19" t="inlineStr"/>
    </row>
    <row r="179">
      <c r="A179" s="13" t="inlineStr">
        <is>
          <t>Alça Fita</t>
        </is>
      </c>
      <c r="B179" s="14" t="inlineStr">
        <is>
          <t>30x45</t>
        </is>
      </c>
      <c r="C179" s="14" t="inlineStr">
        <is>
          <t>0,15</t>
        </is>
      </c>
      <c r="D179" s="14" t="inlineStr">
        <is>
          <t>500–599</t>
        </is>
      </c>
      <c r="E179" s="14" t="n">
        <v>500</v>
      </c>
      <c r="F179" s="15" t="n">
        <v>1.04544</v>
      </c>
      <c r="G179" s="15" t="n">
        <v>0.6877</v>
      </c>
      <c r="H179" s="15" t="n">
        <v>1.04544</v>
      </c>
      <c r="I179" s="16" t="inlineStr">
        <is>
          <t>Marfel</t>
        </is>
      </c>
      <c r="J179" s="15" t="n">
        <v>0.3</v>
      </c>
      <c r="K179" s="17">
        <f>H179+J179</f>
        <v/>
      </c>
      <c r="L179" s="18" t="n">
        <v>0.6</v>
      </c>
      <c r="M179" s="17">
        <f>K179*(1+L179)</f>
        <v/>
      </c>
      <c r="N179" s="14" t="inlineStr">
        <is>
          <t>já existia</t>
        </is>
      </c>
      <c r="O179" s="19" t="inlineStr"/>
    </row>
    <row r="180">
      <c r="A180" s="13" t="inlineStr">
        <is>
          <t>Alça Fita</t>
        </is>
      </c>
      <c r="B180" s="14" t="inlineStr">
        <is>
          <t>30x45</t>
        </is>
      </c>
      <c r="C180" s="14" t="inlineStr">
        <is>
          <t>0,15</t>
        </is>
      </c>
      <c r="D180" s="14" t="inlineStr">
        <is>
          <t>600–699</t>
        </is>
      </c>
      <c r="E180" s="14" t="n">
        <v>600</v>
      </c>
      <c r="F180" s="15" t="n">
        <v>1.04544</v>
      </c>
      <c r="G180" s="15" t="n">
        <v>0.6877</v>
      </c>
      <c r="H180" s="15" t="n">
        <v>1.04544</v>
      </c>
      <c r="I180" s="16" t="inlineStr">
        <is>
          <t>Marfel</t>
        </is>
      </c>
      <c r="J180" s="15" t="n">
        <v>0.3</v>
      </c>
      <c r="K180" s="17">
        <f>H180+J180</f>
        <v/>
      </c>
      <c r="L180" s="18" t="n">
        <v>0.57</v>
      </c>
      <c r="M180" s="17">
        <f>K180*(1+L180)</f>
        <v/>
      </c>
      <c r="N180" s="14" t="inlineStr">
        <is>
          <t>já existia</t>
        </is>
      </c>
      <c r="O180" s="19" t="inlineStr"/>
    </row>
    <row r="181">
      <c r="A181" s="13" t="inlineStr">
        <is>
          <t>Alça Fita</t>
        </is>
      </c>
      <c r="B181" s="14" t="inlineStr">
        <is>
          <t>30x45</t>
        </is>
      </c>
      <c r="C181" s="14" t="inlineStr">
        <is>
          <t>0,15</t>
        </is>
      </c>
      <c r="D181" s="14" t="inlineStr">
        <is>
          <t>700–799</t>
        </is>
      </c>
      <c r="E181" s="14" t="n">
        <v>700</v>
      </c>
      <c r="F181" s="15" t="n">
        <v>1.04544</v>
      </c>
      <c r="G181" s="15" t="n">
        <v>0.6877</v>
      </c>
      <c r="H181" s="15" t="n">
        <v>1.04544</v>
      </c>
      <c r="I181" s="16" t="inlineStr">
        <is>
          <t>Marfel</t>
        </is>
      </c>
      <c r="J181" s="15" t="n">
        <v>0.3</v>
      </c>
      <c r="K181" s="17">
        <f>H181+J181</f>
        <v/>
      </c>
      <c r="L181" s="18" t="n">
        <v>0.54</v>
      </c>
      <c r="M181" s="17">
        <f>K181*(1+L181)</f>
        <v/>
      </c>
      <c r="N181" s="14" t="inlineStr">
        <is>
          <t>já existia</t>
        </is>
      </c>
      <c r="O181" s="19" t="inlineStr"/>
    </row>
    <row r="182">
      <c r="A182" s="13" t="inlineStr">
        <is>
          <t>Alça Fita</t>
        </is>
      </c>
      <c r="B182" s="14" t="inlineStr">
        <is>
          <t>30x45</t>
        </is>
      </c>
      <c r="C182" s="14" t="inlineStr">
        <is>
          <t>0,15</t>
        </is>
      </c>
      <c r="D182" s="14" t="inlineStr">
        <is>
          <t>800–899</t>
        </is>
      </c>
      <c r="E182" s="14" t="n">
        <v>800</v>
      </c>
      <c r="F182" s="15" t="n">
        <v>1.04544</v>
      </c>
      <c r="G182" s="15" t="n">
        <v>0.6877</v>
      </c>
      <c r="H182" s="15" t="n">
        <v>1.04544</v>
      </c>
      <c r="I182" s="16" t="inlineStr">
        <is>
          <t>Marfel</t>
        </is>
      </c>
      <c r="J182" s="15" t="n">
        <v>0.3</v>
      </c>
      <c r="K182" s="17">
        <f>H182+J182</f>
        <v/>
      </c>
      <c r="L182" s="18" t="n">
        <v>0.51</v>
      </c>
      <c r="M182" s="17">
        <f>K182*(1+L182)</f>
        <v/>
      </c>
      <c r="N182" s="14" t="inlineStr">
        <is>
          <t>já existia</t>
        </is>
      </c>
      <c r="O182" s="19" t="inlineStr"/>
    </row>
    <row r="183">
      <c r="A183" s="13" t="inlineStr">
        <is>
          <t>Alça Fita</t>
        </is>
      </c>
      <c r="B183" s="14" t="inlineStr">
        <is>
          <t>30x45</t>
        </is>
      </c>
      <c r="C183" s="14" t="inlineStr">
        <is>
          <t>0,15</t>
        </is>
      </c>
      <c r="D183" s="14" t="inlineStr">
        <is>
          <t>900–999</t>
        </is>
      </c>
      <c r="E183" s="14" t="n">
        <v>900</v>
      </c>
      <c r="F183" s="15" t="n">
        <v>1.04544</v>
      </c>
      <c r="G183" s="15" t="n">
        <v>0.6877</v>
      </c>
      <c r="H183" s="15" t="n">
        <v>1.04544</v>
      </c>
      <c r="I183" s="16" t="inlineStr">
        <is>
          <t>Marfel</t>
        </is>
      </c>
      <c r="J183" s="15" t="n">
        <v>0.3</v>
      </c>
      <c r="K183" s="17">
        <f>H183+J183</f>
        <v/>
      </c>
      <c r="L183" s="18" t="n">
        <v>0.48</v>
      </c>
      <c r="M183" s="17">
        <f>K183*(1+L183)</f>
        <v/>
      </c>
      <c r="N183" s="14" t="inlineStr">
        <is>
          <t>já existia</t>
        </is>
      </c>
      <c r="O183" s="19" t="inlineStr"/>
    </row>
    <row r="184">
      <c r="A184" s="13" t="inlineStr">
        <is>
          <t>Alça Fita</t>
        </is>
      </c>
      <c r="B184" s="14" t="inlineStr">
        <is>
          <t>30x45</t>
        </is>
      </c>
      <c r="C184" s="14" t="inlineStr">
        <is>
          <t>0,15</t>
        </is>
      </c>
      <c r="D184" s="14" t="inlineStr">
        <is>
          <t>1000+</t>
        </is>
      </c>
      <c r="E184" s="14" t="n">
        <v>1000</v>
      </c>
      <c r="F184" s="15" t="n">
        <v>1.04544</v>
      </c>
      <c r="G184" s="15" t="n">
        <v>0.6877</v>
      </c>
      <c r="H184" s="15" t="n">
        <v>1.04544</v>
      </c>
      <c r="I184" s="16" t="inlineStr">
        <is>
          <t>Marfel</t>
        </is>
      </c>
      <c r="J184" s="15" t="n">
        <v>0.3</v>
      </c>
      <c r="K184" s="17">
        <f>H184+J184</f>
        <v/>
      </c>
      <c r="L184" s="18" t="n">
        <v>0.4</v>
      </c>
      <c r="M184" s="17">
        <f>K184*(1+L184)</f>
        <v/>
      </c>
      <c r="N184" s="14" t="inlineStr">
        <is>
          <t>já existia</t>
        </is>
      </c>
      <c r="O184" s="19" t="inlineStr"/>
    </row>
    <row r="185">
      <c r="A185" s="6" t="inlineStr">
        <is>
          <t>Alça Fita</t>
        </is>
      </c>
      <c r="B185" s="7" t="inlineStr">
        <is>
          <t>40x50</t>
        </is>
      </c>
      <c r="C185" s="7" t="inlineStr">
        <is>
          <t>0,13</t>
        </is>
      </c>
      <c r="D185" s="7" t="inlineStr">
        <is>
          <t>100–199</t>
        </is>
      </c>
      <c r="E185" s="7" t="n">
        <v>100</v>
      </c>
      <c r="F185" s="8" t="n">
        <v>1.1223</v>
      </c>
      <c r="G185" s="8" t="n">
        <v>0</v>
      </c>
      <c r="H185" s="8" t="n">
        <v>1.1223</v>
      </c>
      <c r="I185" s="9" t="inlineStr">
        <is>
          <t>Marfel (unico)</t>
        </is>
      </c>
      <c r="J185" s="8" t="n">
        <v>0.3</v>
      </c>
      <c r="K185" s="10">
        <f>H185+J185</f>
        <v/>
      </c>
      <c r="L185" s="11" t="n">
        <v>1</v>
      </c>
      <c r="M185" s="10">
        <f>K185*(1+L185)</f>
        <v/>
      </c>
      <c r="N185" s="7" t="inlineStr">
        <is>
          <t>já existia</t>
        </is>
      </c>
      <c r="O185" s="12" t="inlineStr">
        <is>
          <t>Sem custo cadastrado da Alquimia para esta gramatura — usado apenas o valor da Marfel.</t>
        </is>
      </c>
    </row>
    <row r="186">
      <c r="A186" s="6" t="inlineStr">
        <is>
          <t>Alça Fita</t>
        </is>
      </c>
      <c r="B186" s="7" t="inlineStr">
        <is>
          <t>40x50</t>
        </is>
      </c>
      <c r="C186" s="7" t="inlineStr">
        <is>
          <t>0,13</t>
        </is>
      </c>
      <c r="D186" s="7" t="inlineStr">
        <is>
          <t>200–299</t>
        </is>
      </c>
      <c r="E186" s="7" t="n">
        <v>200</v>
      </c>
      <c r="F186" s="8" t="n">
        <v>1.1223</v>
      </c>
      <c r="G186" s="8" t="n">
        <v>0</v>
      </c>
      <c r="H186" s="8" t="n">
        <v>1.1223</v>
      </c>
      <c r="I186" s="9" t="inlineStr">
        <is>
          <t>Marfel (unico)</t>
        </is>
      </c>
      <c r="J186" s="8" t="n">
        <v>0.3</v>
      </c>
      <c r="K186" s="10">
        <f>H186+J186</f>
        <v/>
      </c>
      <c r="L186" s="11" t="n">
        <v>0.75</v>
      </c>
      <c r="M186" s="10">
        <f>K186*(1+L186)</f>
        <v/>
      </c>
      <c r="N186" s="7" t="inlineStr">
        <is>
          <t>já existia</t>
        </is>
      </c>
      <c r="O186" s="12" t="inlineStr">
        <is>
          <t>Sem custo cadastrado da Alquimia para esta gramatura — usado apenas o valor da Marfel.</t>
        </is>
      </c>
    </row>
    <row r="187">
      <c r="A187" s="6" t="inlineStr">
        <is>
          <t>Alça Fita</t>
        </is>
      </c>
      <c r="B187" s="7" t="inlineStr">
        <is>
          <t>40x50</t>
        </is>
      </c>
      <c r="C187" s="7" t="inlineStr">
        <is>
          <t>0,13</t>
        </is>
      </c>
      <c r="D187" s="7" t="inlineStr">
        <is>
          <t>300–399</t>
        </is>
      </c>
      <c r="E187" s="7" t="n">
        <v>300</v>
      </c>
      <c r="F187" s="8" t="n">
        <v>1.1223</v>
      </c>
      <c r="G187" s="8" t="n">
        <v>0</v>
      </c>
      <c r="H187" s="8" t="n">
        <v>1.1223</v>
      </c>
      <c r="I187" s="9" t="inlineStr">
        <is>
          <t>Marfel (unico)</t>
        </is>
      </c>
      <c r="J187" s="8" t="n">
        <v>0.3</v>
      </c>
      <c r="K187" s="10">
        <f>H187+J187</f>
        <v/>
      </c>
      <c r="L187" s="11" t="n">
        <v>0.7</v>
      </c>
      <c r="M187" s="10">
        <f>K187*(1+L187)</f>
        <v/>
      </c>
      <c r="N187" s="7" t="inlineStr">
        <is>
          <t>já existia</t>
        </is>
      </c>
      <c r="O187" s="12" t="inlineStr">
        <is>
          <t>Sem custo cadastrado da Alquimia para esta gramatura — usado apenas o valor da Marfel.</t>
        </is>
      </c>
    </row>
    <row r="188">
      <c r="A188" s="6" t="inlineStr">
        <is>
          <t>Alça Fita</t>
        </is>
      </c>
      <c r="B188" s="7" t="inlineStr">
        <is>
          <t>40x50</t>
        </is>
      </c>
      <c r="C188" s="7" t="inlineStr">
        <is>
          <t>0,13</t>
        </is>
      </c>
      <c r="D188" s="7" t="inlineStr">
        <is>
          <t>400–499</t>
        </is>
      </c>
      <c r="E188" s="7" t="n">
        <v>400</v>
      </c>
      <c r="F188" s="8" t="n">
        <v>1.1223</v>
      </c>
      <c r="G188" s="8" t="n">
        <v>0</v>
      </c>
      <c r="H188" s="8" t="n">
        <v>1.1223</v>
      </c>
      <c r="I188" s="9" t="inlineStr">
        <is>
          <t>Marfel (unico)</t>
        </is>
      </c>
      <c r="J188" s="8" t="n">
        <v>0.3</v>
      </c>
      <c r="K188" s="10">
        <f>H188+J188</f>
        <v/>
      </c>
      <c r="L188" s="11" t="n">
        <v>0.65</v>
      </c>
      <c r="M188" s="10">
        <f>K188*(1+L188)</f>
        <v/>
      </c>
      <c r="N188" s="7" t="inlineStr">
        <is>
          <t>já existia</t>
        </is>
      </c>
      <c r="O188" s="12" t="inlineStr">
        <is>
          <t>Sem custo cadastrado da Alquimia para esta gramatura — usado apenas o valor da Marfel.</t>
        </is>
      </c>
    </row>
    <row r="189">
      <c r="A189" s="6" t="inlineStr">
        <is>
          <t>Alça Fita</t>
        </is>
      </c>
      <c r="B189" s="7" t="inlineStr">
        <is>
          <t>40x50</t>
        </is>
      </c>
      <c r="C189" s="7" t="inlineStr">
        <is>
          <t>0,13</t>
        </is>
      </c>
      <c r="D189" s="7" t="inlineStr">
        <is>
          <t>500–599</t>
        </is>
      </c>
      <c r="E189" s="7" t="n">
        <v>500</v>
      </c>
      <c r="F189" s="8" t="n">
        <v>1.1223</v>
      </c>
      <c r="G189" s="8" t="n">
        <v>0</v>
      </c>
      <c r="H189" s="8" t="n">
        <v>1.1223</v>
      </c>
      <c r="I189" s="9" t="inlineStr">
        <is>
          <t>Marfel (unico)</t>
        </is>
      </c>
      <c r="J189" s="8" t="n">
        <v>0.3</v>
      </c>
      <c r="K189" s="10">
        <f>H189+J189</f>
        <v/>
      </c>
      <c r="L189" s="11" t="n">
        <v>0.6</v>
      </c>
      <c r="M189" s="10">
        <f>K189*(1+L189)</f>
        <v/>
      </c>
      <c r="N189" s="7" t="inlineStr">
        <is>
          <t>já existia</t>
        </is>
      </c>
      <c r="O189" s="12" t="inlineStr">
        <is>
          <t>Sem custo cadastrado da Alquimia para esta gramatura — usado apenas o valor da Marfel.</t>
        </is>
      </c>
    </row>
    <row r="190">
      <c r="A190" s="6" t="inlineStr">
        <is>
          <t>Alça Fita</t>
        </is>
      </c>
      <c r="B190" s="7" t="inlineStr">
        <is>
          <t>40x50</t>
        </is>
      </c>
      <c r="C190" s="7" t="inlineStr">
        <is>
          <t>0,13</t>
        </is>
      </c>
      <c r="D190" s="7" t="inlineStr">
        <is>
          <t>600–699</t>
        </is>
      </c>
      <c r="E190" s="7" t="n">
        <v>600</v>
      </c>
      <c r="F190" s="8" t="n">
        <v>1.1223</v>
      </c>
      <c r="G190" s="8" t="n">
        <v>0</v>
      </c>
      <c r="H190" s="8" t="n">
        <v>1.1223</v>
      </c>
      <c r="I190" s="9" t="inlineStr">
        <is>
          <t>Marfel (unico)</t>
        </is>
      </c>
      <c r="J190" s="8" t="n">
        <v>0.3</v>
      </c>
      <c r="K190" s="10">
        <f>H190+J190</f>
        <v/>
      </c>
      <c r="L190" s="11" t="n">
        <v>0.57</v>
      </c>
      <c r="M190" s="10">
        <f>K190*(1+L190)</f>
        <v/>
      </c>
      <c r="N190" s="7" t="inlineStr">
        <is>
          <t>já existia</t>
        </is>
      </c>
      <c r="O190" s="12" t="inlineStr">
        <is>
          <t>Sem custo cadastrado da Alquimia para esta gramatura — usado apenas o valor da Marfel.</t>
        </is>
      </c>
    </row>
    <row r="191">
      <c r="A191" s="6" t="inlineStr">
        <is>
          <t>Alça Fita</t>
        </is>
      </c>
      <c r="B191" s="7" t="inlineStr">
        <is>
          <t>40x50</t>
        </is>
      </c>
      <c r="C191" s="7" t="inlineStr">
        <is>
          <t>0,13</t>
        </is>
      </c>
      <c r="D191" s="7" t="inlineStr">
        <is>
          <t>700–799</t>
        </is>
      </c>
      <c r="E191" s="7" t="n">
        <v>700</v>
      </c>
      <c r="F191" s="8" t="n">
        <v>1.1223</v>
      </c>
      <c r="G191" s="8" t="n">
        <v>0</v>
      </c>
      <c r="H191" s="8" t="n">
        <v>1.1223</v>
      </c>
      <c r="I191" s="9" t="inlineStr">
        <is>
          <t>Marfel (unico)</t>
        </is>
      </c>
      <c r="J191" s="8" t="n">
        <v>0.3</v>
      </c>
      <c r="K191" s="10">
        <f>H191+J191</f>
        <v/>
      </c>
      <c r="L191" s="11" t="n">
        <v>0.54</v>
      </c>
      <c r="M191" s="10">
        <f>K191*(1+L191)</f>
        <v/>
      </c>
      <c r="N191" s="7" t="inlineStr">
        <is>
          <t>já existia</t>
        </is>
      </c>
      <c r="O191" s="12" t="inlineStr">
        <is>
          <t>Sem custo cadastrado da Alquimia para esta gramatura — usado apenas o valor da Marfel.</t>
        </is>
      </c>
    </row>
    <row r="192">
      <c r="A192" s="6" t="inlineStr">
        <is>
          <t>Alça Fita</t>
        </is>
      </c>
      <c r="B192" s="7" t="inlineStr">
        <is>
          <t>40x50</t>
        </is>
      </c>
      <c r="C192" s="7" t="inlineStr">
        <is>
          <t>0,13</t>
        </is>
      </c>
      <c r="D192" s="7" t="inlineStr">
        <is>
          <t>800–899</t>
        </is>
      </c>
      <c r="E192" s="7" t="n">
        <v>800</v>
      </c>
      <c r="F192" s="8" t="n">
        <v>1.1223</v>
      </c>
      <c r="G192" s="8" t="n">
        <v>0</v>
      </c>
      <c r="H192" s="8" t="n">
        <v>1.1223</v>
      </c>
      <c r="I192" s="9" t="inlineStr">
        <is>
          <t>Marfel (unico)</t>
        </is>
      </c>
      <c r="J192" s="8" t="n">
        <v>0.3</v>
      </c>
      <c r="K192" s="10">
        <f>H192+J192</f>
        <v/>
      </c>
      <c r="L192" s="11" t="n">
        <v>0.51</v>
      </c>
      <c r="M192" s="10">
        <f>K192*(1+L192)</f>
        <v/>
      </c>
      <c r="N192" s="7" t="inlineStr">
        <is>
          <t>já existia</t>
        </is>
      </c>
      <c r="O192" s="12" t="inlineStr">
        <is>
          <t>Sem custo cadastrado da Alquimia para esta gramatura — usado apenas o valor da Marfel.</t>
        </is>
      </c>
    </row>
    <row r="193">
      <c r="A193" s="6" t="inlineStr">
        <is>
          <t>Alça Fita</t>
        </is>
      </c>
      <c r="B193" s="7" t="inlineStr">
        <is>
          <t>40x50</t>
        </is>
      </c>
      <c r="C193" s="7" t="inlineStr">
        <is>
          <t>0,13</t>
        </is>
      </c>
      <c r="D193" s="7" t="inlineStr">
        <is>
          <t>900–999</t>
        </is>
      </c>
      <c r="E193" s="7" t="n">
        <v>900</v>
      </c>
      <c r="F193" s="8" t="n">
        <v>1.1223</v>
      </c>
      <c r="G193" s="8" t="n">
        <v>0</v>
      </c>
      <c r="H193" s="8" t="n">
        <v>1.1223</v>
      </c>
      <c r="I193" s="9" t="inlineStr">
        <is>
          <t>Marfel (unico)</t>
        </is>
      </c>
      <c r="J193" s="8" t="n">
        <v>0.3</v>
      </c>
      <c r="K193" s="10">
        <f>H193+J193</f>
        <v/>
      </c>
      <c r="L193" s="11" t="n">
        <v>0.48</v>
      </c>
      <c r="M193" s="10">
        <f>K193*(1+L193)</f>
        <v/>
      </c>
      <c r="N193" s="7" t="inlineStr">
        <is>
          <t>já existia</t>
        </is>
      </c>
      <c r="O193" s="12" t="inlineStr">
        <is>
          <t>Sem custo cadastrado da Alquimia para esta gramatura — usado apenas o valor da Marfel.</t>
        </is>
      </c>
    </row>
    <row r="194">
      <c r="A194" s="6" t="inlineStr">
        <is>
          <t>Alça Fita</t>
        </is>
      </c>
      <c r="B194" s="7" t="inlineStr">
        <is>
          <t>40x50</t>
        </is>
      </c>
      <c r="C194" s="7" t="inlineStr">
        <is>
          <t>0,13</t>
        </is>
      </c>
      <c r="D194" s="7" t="inlineStr">
        <is>
          <t>1000+</t>
        </is>
      </c>
      <c r="E194" s="7" t="n">
        <v>1000</v>
      </c>
      <c r="F194" s="8" t="n">
        <v>1.1223</v>
      </c>
      <c r="G194" s="8" t="n">
        <v>0</v>
      </c>
      <c r="H194" s="8" t="n">
        <v>1.1223</v>
      </c>
      <c r="I194" s="9" t="inlineStr">
        <is>
          <t>Marfel (unico)</t>
        </is>
      </c>
      <c r="J194" s="8" t="n">
        <v>0.3</v>
      </c>
      <c r="K194" s="10">
        <f>H194+J194</f>
        <v/>
      </c>
      <c r="L194" s="11" t="n">
        <v>0.4</v>
      </c>
      <c r="M194" s="10">
        <f>K194*(1+L194)</f>
        <v/>
      </c>
      <c r="N194" s="7" t="inlineStr">
        <is>
          <t>já existia</t>
        </is>
      </c>
      <c r="O194" s="12" t="inlineStr">
        <is>
          <t>Sem custo cadastrado da Alquimia para esta gramatura — usado apenas o valor da Marfel.</t>
        </is>
      </c>
    </row>
    <row r="195">
      <c r="A195" s="13" t="inlineStr">
        <is>
          <t>Alça Fita</t>
        </is>
      </c>
      <c r="B195" s="14" t="inlineStr">
        <is>
          <t>40x50</t>
        </is>
      </c>
      <c r="C195" s="14" t="inlineStr">
        <is>
          <t>0,15</t>
        </is>
      </c>
      <c r="D195" s="14" t="inlineStr">
        <is>
          <t>100–199</t>
        </is>
      </c>
      <c r="E195" s="14" t="n">
        <v>100</v>
      </c>
      <c r="F195" s="15" t="n">
        <v>1.4688</v>
      </c>
      <c r="G195" s="15" t="n">
        <v>0.9568000000000001</v>
      </c>
      <c r="H195" s="15" t="n">
        <v>1.4688</v>
      </c>
      <c r="I195" s="16" t="inlineStr">
        <is>
          <t>Marfel</t>
        </is>
      </c>
      <c r="J195" s="15" t="n">
        <v>0.3</v>
      </c>
      <c r="K195" s="17">
        <f>H195+J195</f>
        <v/>
      </c>
      <c r="L195" s="18" t="n">
        <v>1</v>
      </c>
      <c r="M195" s="17">
        <f>K195*(1+L195)</f>
        <v/>
      </c>
      <c r="N195" s="14" t="inlineStr">
        <is>
          <t>já existia</t>
        </is>
      </c>
      <c r="O195" s="19" t="inlineStr"/>
    </row>
    <row r="196">
      <c r="A196" s="13" t="inlineStr">
        <is>
          <t>Alça Fita</t>
        </is>
      </c>
      <c r="B196" s="14" t="inlineStr">
        <is>
          <t>40x50</t>
        </is>
      </c>
      <c r="C196" s="14" t="inlineStr">
        <is>
          <t>0,15</t>
        </is>
      </c>
      <c r="D196" s="14" t="inlineStr">
        <is>
          <t>200–299</t>
        </is>
      </c>
      <c r="E196" s="14" t="n">
        <v>200</v>
      </c>
      <c r="F196" s="15" t="n">
        <v>1.4688</v>
      </c>
      <c r="G196" s="15" t="n">
        <v>0.9568000000000001</v>
      </c>
      <c r="H196" s="15" t="n">
        <v>1.4688</v>
      </c>
      <c r="I196" s="16" t="inlineStr">
        <is>
          <t>Marfel</t>
        </is>
      </c>
      <c r="J196" s="15" t="n">
        <v>0.3</v>
      </c>
      <c r="K196" s="17">
        <f>H196+J196</f>
        <v/>
      </c>
      <c r="L196" s="18" t="n">
        <v>0.75</v>
      </c>
      <c r="M196" s="17">
        <f>K196*(1+L196)</f>
        <v/>
      </c>
      <c r="N196" s="14" t="inlineStr">
        <is>
          <t>já existia</t>
        </is>
      </c>
      <c r="O196" s="19" t="inlineStr"/>
    </row>
    <row r="197">
      <c r="A197" s="13" t="inlineStr">
        <is>
          <t>Alça Fita</t>
        </is>
      </c>
      <c r="B197" s="14" t="inlineStr">
        <is>
          <t>40x50</t>
        </is>
      </c>
      <c r="C197" s="14" t="inlineStr">
        <is>
          <t>0,15</t>
        </is>
      </c>
      <c r="D197" s="14" t="inlineStr">
        <is>
          <t>300–399</t>
        </is>
      </c>
      <c r="E197" s="14" t="n">
        <v>300</v>
      </c>
      <c r="F197" s="15" t="n">
        <v>1.4688</v>
      </c>
      <c r="G197" s="15" t="n">
        <v>0.9568000000000001</v>
      </c>
      <c r="H197" s="15" t="n">
        <v>1.4688</v>
      </c>
      <c r="I197" s="16" t="inlineStr">
        <is>
          <t>Marfel</t>
        </is>
      </c>
      <c r="J197" s="15" t="n">
        <v>0.3</v>
      </c>
      <c r="K197" s="17">
        <f>H197+J197</f>
        <v/>
      </c>
      <c r="L197" s="18" t="n">
        <v>0.7</v>
      </c>
      <c r="M197" s="17">
        <f>K197*(1+L197)</f>
        <v/>
      </c>
      <c r="N197" s="14" t="inlineStr">
        <is>
          <t>já existia</t>
        </is>
      </c>
      <c r="O197" s="19" t="inlineStr"/>
    </row>
    <row r="198">
      <c r="A198" s="13" t="inlineStr">
        <is>
          <t>Alça Fita</t>
        </is>
      </c>
      <c r="B198" s="14" t="inlineStr">
        <is>
          <t>40x50</t>
        </is>
      </c>
      <c r="C198" s="14" t="inlineStr">
        <is>
          <t>0,15</t>
        </is>
      </c>
      <c r="D198" s="14" t="inlineStr">
        <is>
          <t>400–499</t>
        </is>
      </c>
      <c r="E198" s="14" t="n">
        <v>400</v>
      </c>
      <c r="F198" s="15" t="n">
        <v>1.4688</v>
      </c>
      <c r="G198" s="15" t="n">
        <v>0.9568000000000001</v>
      </c>
      <c r="H198" s="15" t="n">
        <v>1.4688</v>
      </c>
      <c r="I198" s="16" t="inlineStr">
        <is>
          <t>Marfel</t>
        </is>
      </c>
      <c r="J198" s="15" t="n">
        <v>0.3</v>
      </c>
      <c r="K198" s="17">
        <f>H198+J198</f>
        <v/>
      </c>
      <c r="L198" s="18" t="n">
        <v>0.65</v>
      </c>
      <c r="M198" s="17">
        <f>K198*(1+L198)</f>
        <v/>
      </c>
      <c r="N198" s="14" t="inlineStr">
        <is>
          <t>já existia</t>
        </is>
      </c>
      <c r="O198" s="19" t="inlineStr"/>
    </row>
    <row r="199">
      <c r="A199" s="13" t="inlineStr">
        <is>
          <t>Alça Fita</t>
        </is>
      </c>
      <c r="B199" s="14" t="inlineStr">
        <is>
          <t>40x50</t>
        </is>
      </c>
      <c r="C199" s="14" t="inlineStr">
        <is>
          <t>0,15</t>
        </is>
      </c>
      <c r="D199" s="14" t="inlineStr">
        <is>
          <t>500–599</t>
        </is>
      </c>
      <c r="E199" s="14" t="n">
        <v>500</v>
      </c>
      <c r="F199" s="15" t="n">
        <v>1.4688</v>
      </c>
      <c r="G199" s="15" t="n">
        <v>0.9568000000000001</v>
      </c>
      <c r="H199" s="15" t="n">
        <v>1.4688</v>
      </c>
      <c r="I199" s="16" t="inlineStr">
        <is>
          <t>Marfel</t>
        </is>
      </c>
      <c r="J199" s="15" t="n">
        <v>0.3</v>
      </c>
      <c r="K199" s="17">
        <f>H199+J199</f>
        <v/>
      </c>
      <c r="L199" s="18" t="n">
        <v>0.6</v>
      </c>
      <c r="M199" s="17">
        <f>K199*(1+L199)</f>
        <v/>
      </c>
      <c r="N199" s="14" t="inlineStr">
        <is>
          <t>já existia</t>
        </is>
      </c>
      <c r="O199" s="19" t="inlineStr"/>
    </row>
    <row r="200">
      <c r="A200" s="13" t="inlineStr">
        <is>
          <t>Alça Fita</t>
        </is>
      </c>
      <c r="B200" s="14" t="inlineStr">
        <is>
          <t>40x50</t>
        </is>
      </c>
      <c r="C200" s="14" t="inlineStr">
        <is>
          <t>0,15</t>
        </is>
      </c>
      <c r="D200" s="14" t="inlineStr">
        <is>
          <t>600–699</t>
        </is>
      </c>
      <c r="E200" s="14" t="n">
        <v>600</v>
      </c>
      <c r="F200" s="15" t="n">
        <v>1.4688</v>
      </c>
      <c r="G200" s="15" t="n">
        <v>0.9568000000000001</v>
      </c>
      <c r="H200" s="15" t="n">
        <v>1.4688</v>
      </c>
      <c r="I200" s="16" t="inlineStr">
        <is>
          <t>Marfel</t>
        </is>
      </c>
      <c r="J200" s="15" t="n">
        <v>0.3</v>
      </c>
      <c r="K200" s="17">
        <f>H200+J200</f>
        <v/>
      </c>
      <c r="L200" s="18" t="n">
        <v>0.57</v>
      </c>
      <c r="M200" s="17">
        <f>K200*(1+L200)</f>
        <v/>
      </c>
      <c r="N200" s="14" t="inlineStr">
        <is>
          <t>já existia</t>
        </is>
      </c>
      <c r="O200" s="19" t="inlineStr"/>
    </row>
    <row r="201">
      <c r="A201" s="13" t="inlineStr">
        <is>
          <t>Alça Fita</t>
        </is>
      </c>
      <c r="B201" s="14" t="inlineStr">
        <is>
          <t>40x50</t>
        </is>
      </c>
      <c r="C201" s="14" t="inlineStr">
        <is>
          <t>0,15</t>
        </is>
      </c>
      <c r="D201" s="14" t="inlineStr">
        <is>
          <t>700–799</t>
        </is>
      </c>
      <c r="E201" s="14" t="n">
        <v>700</v>
      </c>
      <c r="F201" s="15" t="n">
        <v>1.4688</v>
      </c>
      <c r="G201" s="15" t="n">
        <v>0.9568000000000001</v>
      </c>
      <c r="H201" s="15" t="n">
        <v>1.4688</v>
      </c>
      <c r="I201" s="16" t="inlineStr">
        <is>
          <t>Marfel</t>
        </is>
      </c>
      <c r="J201" s="15" t="n">
        <v>0.3</v>
      </c>
      <c r="K201" s="17">
        <f>H201+J201</f>
        <v/>
      </c>
      <c r="L201" s="18" t="n">
        <v>0.54</v>
      </c>
      <c r="M201" s="17">
        <f>K201*(1+L201)</f>
        <v/>
      </c>
      <c r="N201" s="14" t="inlineStr">
        <is>
          <t>já existia</t>
        </is>
      </c>
      <c r="O201" s="19" t="inlineStr"/>
    </row>
    <row r="202">
      <c r="A202" s="13" t="inlineStr">
        <is>
          <t>Alça Fita</t>
        </is>
      </c>
      <c r="B202" s="14" t="inlineStr">
        <is>
          <t>40x50</t>
        </is>
      </c>
      <c r="C202" s="14" t="inlineStr">
        <is>
          <t>0,15</t>
        </is>
      </c>
      <c r="D202" s="14" t="inlineStr">
        <is>
          <t>800–899</t>
        </is>
      </c>
      <c r="E202" s="14" t="n">
        <v>800</v>
      </c>
      <c r="F202" s="15" t="n">
        <v>1.4688</v>
      </c>
      <c r="G202" s="15" t="n">
        <v>0.9568000000000001</v>
      </c>
      <c r="H202" s="15" t="n">
        <v>1.4688</v>
      </c>
      <c r="I202" s="16" t="inlineStr">
        <is>
          <t>Marfel</t>
        </is>
      </c>
      <c r="J202" s="15" t="n">
        <v>0.3</v>
      </c>
      <c r="K202" s="17">
        <f>H202+J202</f>
        <v/>
      </c>
      <c r="L202" s="18" t="n">
        <v>0.51</v>
      </c>
      <c r="M202" s="17">
        <f>K202*(1+L202)</f>
        <v/>
      </c>
      <c r="N202" s="14" t="inlineStr">
        <is>
          <t>já existia</t>
        </is>
      </c>
      <c r="O202" s="19" t="inlineStr"/>
    </row>
    <row r="203">
      <c r="A203" s="13" t="inlineStr">
        <is>
          <t>Alça Fita</t>
        </is>
      </c>
      <c r="B203" s="14" t="inlineStr">
        <is>
          <t>40x50</t>
        </is>
      </c>
      <c r="C203" s="14" t="inlineStr">
        <is>
          <t>0,15</t>
        </is>
      </c>
      <c r="D203" s="14" t="inlineStr">
        <is>
          <t>900–999</t>
        </is>
      </c>
      <c r="E203" s="14" t="n">
        <v>900</v>
      </c>
      <c r="F203" s="15" t="n">
        <v>1.4688</v>
      </c>
      <c r="G203" s="15" t="n">
        <v>0.9568000000000001</v>
      </c>
      <c r="H203" s="15" t="n">
        <v>1.4688</v>
      </c>
      <c r="I203" s="16" t="inlineStr">
        <is>
          <t>Marfel</t>
        </is>
      </c>
      <c r="J203" s="15" t="n">
        <v>0.3</v>
      </c>
      <c r="K203" s="17">
        <f>H203+J203</f>
        <v/>
      </c>
      <c r="L203" s="18" t="n">
        <v>0.48</v>
      </c>
      <c r="M203" s="17">
        <f>K203*(1+L203)</f>
        <v/>
      </c>
      <c r="N203" s="14" t="inlineStr">
        <is>
          <t>já existia</t>
        </is>
      </c>
      <c r="O203" s="19" t="inlineStr"/>
    </row>
    <row r="204">
      <c r="A204" s="13" t="inlineStr">
        <is>
          <t>Alça Fita</t>
        </is>
      </c>
      <c r="B204" s="14" t="inlineStr">
        <is>
          <t>40x50</t>
        </is>
      </c>
      <c r="C204" s="14" t="inlineStr">
        <is>
          <t>0,15</t>
        </is>
      </c>
      <c r="D204" s="14" t="inlineStr">
        <is>
          <t>1000+</t>
        </is>
      </c>
      <c r="E204" s="14" t="n">
        <v>1000</v>
      </c>
      <c r="F204" s="15" t="n">
        <v>1.4688</v>
      </c>
      <c r="G204" s="15" t="n">
        <v>0.9568000000000001</v>
      </c>
      <c r="H204" s="15" t="n">
        <v>1.4688</v>
      </c>
      <c r="I204" s="16" t="inlineStr">
        <is>
          <t>Marfel</t>
        </is>
      </c>
      <c r="J204" s="15" t="n">
        <v>0.3</v>
      </c>
      <c r="K204" s="17">
        <f>H204+J204</f>
        <v/>
      </c>
      <c r="L204" s="18" t="n">
        <v>0.4</v>
      </c>
      <c r="M204" s="17">
        <f>K204*(1+L204)</f>
        <v/>
      </c>
      <c r="N204" s="14" t="inlineStr">
        <is>
          <t>já existia</t>
        </is>
      </c>
      <c r="O204" s="19" t="inlineStr"/>
    </row>
    <row r="205">
      <c r="A205" s="6" t="inlineStr">
        <is>
          <t>Alça Fita</t>
        </is>
      </c>
      <c r="B205" s="7" t="inlineStr">
        <is>
          <t>45x55</t>
        </is>
      </c>
      <c r="C205" s="7" t="inlineStr">
        <is>
          <t>0,13</t>
        </is>
      </c>
      <c r="D205" s="7" t="inlineStr">
        <is>
          <t>100–199</t>
        </is>
      </c>
      <c r="E205" s="7" t="n">
        <v>100</v>
      </c>
      <c r="F205" s="8" t="n">
        <v>1.45125</v>
      </c>
      <c r="G205" s="8" t="n">
        <v>0</v>
      </c>
      <c r="H205" s="8" t="n">
        <v>1.45125</v>
      </c>
      <c r="I205" s="9" t="inlineStr">
        <is>
          <t>Marfel (unico)</t>
        </is>
      </c>
      <c r="J205" s="8" t="n">
        <v>0.3</v>
      </c>
      <c r="K205" s="10">
        <f>H205+J205</f>
        <v/>
      </c>
      <c r="L205" s="11" t="n">
        <v>1</v>
      </c>
      <c r="M205" s="10">
        <f>K205*(1+L205)</f>
        <v/>
      </c>
      <c r="N205" s="7" t="inlineStr">
        <is>
          <t>já existia</t>
        </is>
      </c>
      <c r="O205" s="12" t="inlineStr">
        <is>
          <t>Sem custo cadastrado da Alquimia para esta gramatura — usado apenas o valor da Marfel.</t>
        </is>
      </c>
    </row>
    <row r="206">
      <c r="A206" s="6" t="inlineStr">
        <is>
          <t>Alça Fita</t>
        </is>
      </c>
      <c r="B206" s="7" t="inlineStr">
        <is>
          <t>45x55</t>
        </is>
      </c>
      <c r="C206" s="7" t="inlineStr">
        <is>
          <t>0,13</t>
        </is>
      </c>
      <c r="D206" s="7" t="inlineStr">
        <is>
          <t>200–299</t>
        </is>
      </c>
      <c r="E206" s="7" t="n">
        <v>200</v>
      </c>
      <c r="F206" s="8" t="n">
        <v>1.45125</v>
      </c>
      <c r="G206" s="8" t="n">
        <v>0</v>
      </c>
      <c r="H206" s="8" t="n">
        <v>1.45125</v>
      </c>
      <c r="I206" s="9" t="inlineStr">
        <is>
          <t>Marfel (unico)</t>
        </is>
      </c>
      <c r="J206" s="8" t="n">
        <v>0.3</v>
      </c>
      <c r="K206" s="10">
        <f>H206+J206</f>
        <v/>
      </c>
      <c r="L206" s="11" t="n">
        <v>0.75</v>
      </c>
      <c r="M206" s="10">
        <f>K206*(1+L206)</f>
        <v/>
      </c>
      <c r="N206" s="7" t="inlineStr">
        <is>
          <t>já existia</t>
        </is>
      </c>
      <c r="O206" s="12" t="inlineStr">
        <is>
          <t>Sem custo cadastrado da Alquimia para esta gramatura — usado apenas o valor da Marfel.</t>
        </is>
      </c>
    </row>
    <row r="207">
      <c r="A207" s="6" t="inlineStr">
        <is>
          <t>Alça Fita</t>
        </is>
      </c>
      <c r="B207" s="7" t="inlineStr">
        <is>
          <t>45x55</t>
        </is>
      </c>
      <c r="C207" s="7" t="inlineStr">
        <is>
          <t>0,13</t>
        </is>
      </c>
      <c r="D207" s="7" t="inlineStr">
        <is>
          <t>300–399</t>
        </is>
      </c>
      <c r="E207" s="7" t="n">
        <v>300</v>
      </c>
      <c r="F207" s="8" t="n">
        <v>1.45125</v>
      </c>
      <c r="G207" s="8" t="n">
        <v>0</v>
      </c>
      <c r="H207" s="8" t="n">
        <v>1.45125</v>
      </c>
      <c r="I207" s="9" t="inlineStr">
        <is>
          <t>Marfel (unico)</t>
        </is>
      </c>
      <c r="J207" s="8" t="n">
        <v>0.3</v>
      </c>
      <c r="K207" s="10">
        <f>H207+J207</f>
        <v/>
      </c>
      <c r="L207" s="11" t="n">
        <v>0.7</v>
      </c>
      <c r="M207" s="10">
        <f>K207*(1+L207)</f>
        <v/>
      </c>
      <c r="N207" s="7" t="inlineStr">
        <is>
          <t>já existia</t>
        </is>
      </c>
      <c r="O207" s="12" t="inlineStr">
        <is>
          <t>Sem custo cadastrado da Alquimia para esta gramatura — usado apenas o valor da Marfel.</t>
        </is>
      </c>
    </row>
    <row r="208">
      <c r="A208" s="6" t="inlineStr">
        <is>
          <t>Alça Fita</t>
        </is>
      </c>
      <c r="B208" s="7" t="inlineStr">
        <is>
          <t>45x55</t>
        </is>
      </c>
      <c r="C208" s="7" t="inlineStr">
        <is>
          <t>0,13</t>
        </is>
      </c>
      <c r="D208" s="7" t="inlineStr">
        <is>
          <t>400–499</t>
        </is>
      </c>
      <c r="E208" s="7" t="n">
        <v>400</v>
      </c>
      <c r="F208" s="8" t="n">
        <v>1.45125</v>
      </c>
      <c r="G208" s="8" t="n">
        <v>0</v>
      </c>
      <c r="H208" s="8" t="n">
        <v>1.45125</v>
      </c>
      <c r="I208" s="9" t="inlineStr">
        <is>
          <t>Marfel (unico)</t>
        </is>
      </c>
      <c r="J208" s="8" t="n">
        <v>0.3</v>
      </c>
      <c r="K208" s="10">
        <f>H208+J208</f>
        <v/>
      </c>
      <c r="L208" s="11" t="n">
        <v>0.65</v>
      </c>
      <c r="M208" s="10">
        <f>K208*(1+L208)</f>
        <v/>
      </c>
      <c r="N208" s="7" t="inlineStr">
        <is>
          <t>já existia</t>
        </is>
      </c>
      <c r="O208" s="12" t="inlineStr">
        <is>
          <t>Sem custo cadastrado da Alquimia para esta gramatura — usado apenas o valor da Marfel.</t>
        </is>
      </c>
    </row>
    <row r="209">
      <c r="A209" s="6" t="inlineStr">
        <is>
          <t>Alça Fita</t>
        </is>
      </c>
      <c r="B209" s="7" t="inlineStr">
        <is>
          <t>45x55</t>
        </is>
      </c>
      <c r="C209" s="7" t="inlineStr">
        <is>
          <t>0,13</t>
        </is>
      </c>
      <c r="D209" s="7" t="inlineStr">
        <is>
          <t>500–599</t>
        </is>
      </c>
      <c r="E209" s="7" t="n">
        <v>500</v>
      </c>
      <c r="F209" s="8" t="n">
        <v>1.45125</v>
      </c>
      <c r="G209" s="8" t="n">
        <v>0</v>
      </c>
      <c r="H209" s="8" t="n">
        <v>1.45125</v>
      </c>
      <c r="I209" s="9" t="inlineStr">
        <is>
          <t>Marfel (unico)</t>
        </is>
      </c>
      <c r="J209" s="8" t="n">
        <v>0.3</v>
      </c>
      <c r="K209" s="10">
        <f>H209+J209</f>
        <v/>
      </c>
      <c r="L209" s="11" t="n">
        <v>0.6</v>
      </c>
      <c r="M209" s="10">
        <f>K209*(1+L209)</f>
        <v/>
      </c>
      <c r="N209" s="7" t="inlineStr">
        <is>
          <t>já existia</t>
        </is>
      </c>
      <c r="O209" s="12" t="inlineStr">
        <is>
          <t>Sem custo cadastrado da Alquimia para esta gramatura — usado apenas o valor da Marfel.</t>
        </is>
      </c>
    </row>
    <row r="210">
      <c r="A210" s="6" t="inlineStr">
        <is>
          <t>Alça Fita</t>
        </is>
      </c>
      <c r="B210" s="7" t="inlineStr">
        <is>
          <t>45x55</t>
        </is>
      </c>
      <c r="C210" s="7" t="inlineStr">
        <is>
          <t>0,13</t>
        </is>
      </c>
      <c r="D210" s="7" t="inlineStr">
        <is>
          <t>600–699</t>
        </is>
      </c>
      <c r="E210" s="7" t="n">
        <v>600</v>
      </c>
      <c r="F210" s="8" t="n">
        <v>1.45125</v>
      </c>
      <c r="G210" s="8" t="n">
        <v>0</v>
      </c>
      <c r="H210" s="8" t="n">
        <v>1.45125</v>
      </c>
      <c r="I210" s="9" t="inlineStr">
        <is>
          <t>Marfel (unico)</t>
        </is>
      </c>
      <c r="J210" s="8" t="n">
        <v>0.3</v>
      </c>
      <c r="K210" s="10">
        <f>H210+J210</f>
        <v/>
      </c>
      <c r="L210" s="11" t="n">
        <v>0.57</v>
      </c>
      <c r="M210" s="10">
        <f>K210*(1+L210)</f>
        <v/>
      </c>
      <c r="N210" s="7" t="inlineStr">
        <is>
          <t>já existia</t>
        </is>
      </c>
      <c r="O210" s="12" t="inlineStr">
        <is>
          <t>Sem custo cadastrado da Alquimia para esta gramatura — usado apenas o valor da Marfel.</t>
        </is>
      </c>
    </row>
    <row r="211">
      <c r="A211" s="6" t="inlineStr">
        <is>
          <t>Alça Fita</t>
        </is>
      </c>
      <c r="B211" s="7" t="inlineStr">
        <is>
          <t>45x55</t>
        </is>
      </c>
      <c r="C211" s="7" t="inlineStr">
        <is>
          <t>0,13</t>
        </is>
      </c>
      <c r="D211" s="7" t="inlineStr">
        <is>
          <t>700–799</t>
        </is>
      </c>
      <c r="E211" s="7" t="n">
        <v>700</v>
      </c>
      <c r="F211" s="8" t="n">
        <v>1.45125</v>
      </c>
      <c r="G211" s="8" t="n">
        <v>0</v>
      </c>
      <c r="H211" s="8" t="n">
        <v>1.45125</v>
      </c>
      <c r="I211" s="9" t="inlineStr">
        <is>
          <t>Marfel (unico)</t>
        </is>
      </c>
      <c r="J211" s="8" t="n">
        <v>0.3</v>
      </c>
      <c r="K211" s="10">
        <f>H211+J211</f>
        <v/>
      </c>
      <c r="L211" s="11" t="n">
        <v>0.54</v>
      </c>
      <c r="M211" s="10">
        <f>K211*(1+L211)</f>
        <v/>
      </c>
      <c r="N211" s="7" t="inlineStr">
        <is>
          <t>já existia</t>
        </is>
      </c>
      <c r="O211" s="12" t="inlineStr">
        <is>
          <t>Sem custo cadastrado da Alquimia para esta gramatura — usado apenas o valor da Marfel.</t>
        </is>
      </c>
    </row>
    <row r="212">
      <c r="A212" s="6" t="inlineStr">
        <is>
          <t>Alça Fita</t>
        </is>
      </c>
      <c r="B212" s="7" t="inlineStr">
        <is>
          <t>45x55</t>
        </is>
      </c>
      <c r="C212" s="7" t="inlineStr">
        <is>
          <t>0,13</t>
        </is>
      </c>
      <c r="D212" s="7" t="inlineStr">
        <is>
          <t>800–899</t>
        </is>
      </c>
      <c r="E212" s="7" t="n">
        <v>800</v>
      </c>
      <c r="F212" s="8" t="n">
        <v>1.45125</v>
      </c>
      <c r="G212" s="8" t="n">
        <v>0</v>
      </c>
      <c r="H212" s="8" t="n">
        <v>1.45125</v>
      </c>
      <c r="I212" s="9" t="inlineStr">
        <is>
          <t>Marfel (unico)</t>
        </is>
      </c>
      <c r="J212" s="8" t="n">
        <v>0.3</v>
      </c>
      <c r="K212" s="10">
        <f>H212+J212</f>
        <v/>
      </c>
      <c r="L212" s="11" t="n">
        <v>0.51</v>
      </c>
      <c r="M212" s="10">
        <f>K212*(1+L212)</f>
        <v/>
      </c>
      <c r="N212" s="7" t="inlineStr">
        <is>
          <t>já existia</t>
        </is>
      </c>
      <c r="O212" s="12" t="inlineStr">
        <is>
          <t>Sem custo cadastrado da Alquimia para esta gramatura — usado apenas o valor da Marfel.</t>
        </is>
      </c>
    </row>
    <row r="213">
      <c r="A213" s="6" t="inlineStr">
        <is>
          <t>Alça Fita</t>
        </is>
      </c>
      <c r="B213" s="7" t="inlineStr">
        <is>
          <t>45x55</t>
        </is>
      </c>
      <c r="C213" s="7" t="inlineStr">
        <is>
          <t>0,13</t>
        </is>
      </c>
      <c r="D213" s="7" t="inlineStr">
        <is>
          <t>900–999</t>
        </is>
      </c>
      <c r="E213" s="7" t="n">
        <v>900</v>
      </c>
      <c r="F213" s="8" t="n">
        <v>1.45125</v>
      </c>
      <c r="G213" s="8" t="n">
        <v>0</v>
      </c>
      <c r="H213" s="8" t="n">
        <v>1.45125</v>
      </c>
      <c r="I213" s="9" t="inlineStr">
        <is>
          <t>Marfel (unico)</t>
        </is>
      </c>
      <c r="J213" s="8" t="n">
        <v>0.3</v>
      </c>
      <c r="K213" s="10">
        <f>H213+J213</f>
        <v/>
      </c>
      <c r="L213" s="11" t="n">
        <v>0.48</v>
      </c>
      <c r="M213" s="10">
        <f>K213*(1+L213)</f>
        <v/>
      </c>
      <c r="N213" s="7" t="inlineStr">
        <is>
          <t>já existia</t>
        </is>
      </c>
      <c r="O213" s="12" t="inlineStr">
        <is>
          <t>Sem custo cadastrado da Alquimia para esta gramatura — usado apenas o valor da Marfel.</t>
        </is>
      </c>
    </row>
    <row r="214">
      <c r="A214" s="6" t="inlineStr">
        <is>
          <t>Alça Fita</t>
        </is>
      </c>
      <c r="B214" s="7" t="inlineStr">
        <is>
          <t>45x55</t>
        </is>
      </c>
      <c r="C214" s="7" t="inlineStr">
        <is>
          <t>0,13</t>
        </is>
      </c>
      <c r="D214" s="7" t="inlineStr">
        <is>
          <t>1000+</t>
        </is>
      </c>
      <c r="E214" s="7" t="n">
        <v>1000</v>
      </c>
      <c r="F214" s="8" t="n">
        <v>1.45125</v>
      </c>
      <c r="G214" s="8" t="n">
        <v>0</v>
      </c>
      <c r="H214" s="8" t="n">
        <v>1.45125</v>
      </c>
      <c r="I214" s="9" t="inlineStr">
        <is>
          <t>Marfel (unico)</t>
        </is>
      </c>
      <c r="J214" s="8" t="n">
        <v>0.3</v>
      </c>
      <c r="K214" s="10">
        <f>H214+J214</f>
        <v/>
      </c>
      <c r="L214" s="11" t="n">
        <v>0.4</v>
      </c>
      <c r="M214" s="10">
        <f>K214*(1+L214)</f>
        <v/>
      </c>
      <c r="N214" s="7" t="inlineStr">
        <is>
          <t>já existia</t>
        </is>
      </c>
      <c r="O214" s="12" t="inlineStr">
        <is>
          <t>Sem custo cadastrado da Alquimia para esta gramatura — usado apenas o valor da Marfel.</t>
        </is>
      </c>
    </row>
    <row r="215">
      <c r="A215" s="13" t="inlineStr">
        <is>
          <t>Alça Fita</t>
        </is>
      </c>
      <c r="B215" s="14" t="inlineStr">
        <is>
          <t>45x55</t>
        </is>
      </c>
      <c r="C215" s="14" t="inlineStr">
        <is>
          <t>0,15</t>
        </is>
      </c>
      <c r="D215" s="14" t="inlineStr">
        <is>
          <t>100–199</t>
        </is>
      </c>
      <c r="E215" s="14" t="n">
        <v>100</v>
      </c>
      <c r="F215" s="15" t="n">
        <v>1.76256</v>
      </c>
      <c r="G215" s="15" t="n">
        <v>1.196</v>
      </c>
      <c r="H215" s="15" t="n">
        <v>1.76256</v>
      </c>
      <c r="I215" s="16" t="inlineStr">
        <is>
          <t>Marfel</t>
        </is>
      </c>
      <c r="J215" s="15" t="n">
        <v>0.3</v>
      </c>
      <c r="K215" s="17">
        <f>H215+J215</f>
        <v/>
      </c>
      <c r="L215" s="18" t="n">
        <v>1</v>
      </c>
      <c r="M215" s="17">
        <f>K215*(1+L215)</f>
        <v/>
      </c>
      <c r="N215" s="14" t="inlineStr">
        <is>
          <t>já existia</t>
        </is>
      </c>
      <c r="O215" s="19" t="inlineStr"/>
    </row>
    <row r="216">
      <c r="A216" s="13" t="inlineStr">
        <is>
          <t>Alça Fita</t>
        </is>
      </c>
      <c r="B216" s="14" t="inlineStr">
        <is>
          <t>45x55</t>
        </is>
      </c>
      <c r="C216" s="14" t="inlineStr">
        <is>
          <t>0,15</t>
        </is>
      </c>
      <c r="D216" s="14" t="inlineStr">
        <is>
          <t>200–299</t>
        </is>
      </c>
      <c r="E216" s="14" t="n">
        <v>200</v>
      </c>
      <c r="F216" s="15" t="n">
        <v>1.76256</v>
      </c>
      <c r="G216" s="15" t="n">
        <v>1.196</v>
      </c>
      <c r="H216" s="15" t="n">
        <v>1.76256</v>
      </c>
      <c r="I216" s="16" t="inlineStr">
        <is>
          <t>Marfel</t>
        </is>
      </c>
      <c r="J216" s="15" t="n">
        <v>0.3</v>
      </c>
      <c r="K216" s="17">
        <f>H216+J216</f>
        <v/>
      </c>
      <c r="L216" s="18" t="n">
        <v>0.75</v>
      </c>
      <c r="M216" s="17">
        <f>K216*(1+L216)</f>
        <v/>
      </c>
      <c r="N216" s="14" t="inlineStr">
        <is>
          <t>já existia</t>
        </is>
      </c>
      <c r="O216" s="19" t="inlineStr"/>
    </row>
    <row r="217">
      <c r="A217" s="13" t="inlineStr">
        <is>
          <t>Alça Fita</t>
        </is>
      </c>
      <c r="B217" s="14" t="inlineStr">
        <is>
          <t>45x55</t>
        </is>
      </c>
      <c r="C217" s="14" t="inlineStr">
        <is>
          <t>0,15</t>
        </is>
      </c>
      <c r="D217" s="14" t="inlineStr">
        <is>
          <t>300–399</t>
        </is>
      </c>
      <c r="E217" s="14" t="n">
        <v>300</v>
      </c>
      <c r="F217" s="15" t="n">
        <v>1.76256</v>
      </c>
      <c r="G217" s="15" t="n">
        <v>1.196</v>
      </c>
      <c r="H217" s="15" t="n">
        <v>1.76256</v>
      </c>
      <c r="I217" s="16" t="inlineStr">
        <is>
          <t>Marfel</t>
        </is>
      </c>
      <c r="J217" s="15" t="n">
        <v>0.3</v>
      </c>
      <c r="K217" s="17">
        <f>H217+J217</f>
        <v/>
      </c>
      <c r="L217" s="18" t="n">
        <v>0.7</v>
      </c>
      <c r="M217" s="17">
        <f>K217*(1+L217)</f>
        <v/>
      </c>
      <c r="N217" s="14" t="inlineStr">
        <is>
          <t>já existia</t>
        </is>
      </c>
      <c r="O217" s="19" t="inlineStr"/>
    </row>
    <row r="218">
      <c r="A218" s="13" t="inlineStr">
        <is>
          <t>Alça Fita</t>
        </is>
      </c>
      <c r="B218" s="14" t="inlineStr">
        <is>
          <t>45x55</t>
        </is>
      </c>
      <c r="C218" s="14" t="inlineStr">
        <is>
          <t>0,15</t>
        </is>
      </c>
      <c r="D218" s="14" t="inlineStr">
        <is>
          <t>400–499</t>
        </is>
      </c>
      <c r="E218" s="14" t="n">
        <v>400</v>
      </c>
      <c r="F218" s="15" t="n">
        <v>1.76256</v>
      </c>
      <c r="G218" s="15" t="n">
        <v>1.196</v>
      </c>
      <c r="H218" s="15" t="n">
        <v>1.76256</v>
      </c>
      <c r="I218" s="16" t="inlineStr">
        <is>
          <t>Marfel</t>
        </is>
      </c>
      <c r="J218" s="15" t="n">
        <v>0.3</v>
      </c>
      <c r="K218" s="17">
        <f>H218+J218</f>
        <v/>
      </c>
      <c r="L218" s="18" t="n">
        <v>0.65</v>
      </c>
      <c r="M218" s="17">
        <f>K218*(1+L218)</f>
        <v/>
      </c>
      <c r="N218" s="14" t="inlineStr">
        <is>
          <t>já existia</t>
        </is>
      </c>
      <c r="O218" s="19" t="inlineStr"/>
    </row>
    <row r="219">
      <c r="A219" s="13" t="inlineStr">
        <is>
          <t>Alça Fita</t>
        </is>
      </c>
      <c r="B219" s="14" t="inlineStr">
        <is>
          <t>45x55</t>
        </is>
      </c>
      <c r="C219" s="14" t="inlineStr">
        <is>
          <t>0,15</t>
        </is>
      </c>
      <c r="D219" s="14" t="inlineStr">
        <is>
          <t>500–599</t>
        </is>
      </c>
      <c r="E219" s="14" t="n">
        <v>500</v>
      </c>
      <c r="F219" s="15" t="n">
        <v>1.76256</v>
      </c>
      <c r="G219" s="15" t="n">
        <v>1.196</v>
      </c>
      <c r="H219" s="15" t="n">
        <v>1.76256</v>
      </c>
      <c r="I219" s="16" t="inlineStr">
        <is>
          <t>Marfel</t>
        </is>
      </c>
      <c r="J219" s="15" t="n">
        <v>0.3</v>
      </c>
      <c r="K219" s="17">
        <f>H219+J219</f>
        <v/>
      </c>
      <c r="L219" s="18" t="n">
        <v>0.6</v>
      </c>
      <c r="M219" s="17">
        <f>K219*(1+L219)</f>
        <v/>
      </c>
      <c r="N219" s="14" t="inlineStr">
        <is>
          <t>já existia</t>
        </is>
      </c>
      <c r="O219" s="19" t="inlineStr"/>
    </row>
    <row r="220">
      <c r="A220" s="13" t="inlineStr">
        <is>
          <t>Alça Fita</t>
        </is>
      </c>
      <c r="B220" s="14" t="inlineStr">
        <is>
          <t>45x55</t>
        </is>
      </c>
      <c r="C220" s="14" t="inlineStr">
        <is>
          <t>0,15</t>
        </is>
      </c>
      <c r="D220" s="14" t="inlineStr">
        <is>
          <t>600–699</t>
        </is>
      </c>
      <c r="E220" s="14" t="n">
        <v>600</v>
      </c>
      <c r="F220" s="15" t="n">
        <v>1.76256</v>
      </c>
      <c r="G220" s="15" t="n">
        <v>1.196</v>
      </c>
      <c r="H220" s="15" t="n">
        <v>1.76256</v>
      </c>
      <c r="I220" s="16" t="inlineStr">
        <is>
          <t>Marfel</t>
        </is>
      </c>
      <c r="J220" s="15" t="n">
        <v>0.3</v>
      </c>
      <c r="K220" s="17">
        <f>H220+J220</f>
        <v/>
      </c>
      <c r="L220" s="18" t="n">
        <v>0.57</v>
      </c>
      <c r="M220" s="17">
        <f>K220*(1+L220)</f>
        <v/>
      </c>
      <c r="N220" s="14" t="inlineStr">
        <is>
          <t>já existia</t>
        </is>
      </c>
      <c r="O220" s="19" t="inlineStr"/>
    </row>
    <row r="221">
      <c r="A221" s="13" t="inlineStr">
        <is>
          <t>Alça Fita</t>
        </is>
      </c>
      <c r="B221" s="14" t="inlineStr">
        <is>
          <t>45x55</t>
        </is>
      </c>
      <c r="C221" s="14" t="inlineStr">
        <is>
          <t>0,15</t>
        </is>
      </c>
      <c r="D221" s="14" t="inlineStr">
        <is>
          <t>700–799</t>
        </is>
      </c>
      <c r="E221" s="14" t="n">
        <v>700</v>
      </c>
      <c r="F221" s="15" t="n">
        <v>1.76256</v>
      </c>
      <c r="G221" s="15" t="n">
        <v>1.196</v>
      </c>
      <c r="H221" s="15" t="n">
        <v>1.76256</v>
      </c>
      <c r="I221" s="16" t="inlineStr">
        <is>
          <t>Marfel</t>
        </is>
      </c>
      <c r="J221" s="15" t="n">
        <v>0.3</v>
      </c>
      <c r="K221" s="17">
        <f>H221+J221</f>
        <v/>
      </c>
      <c r="L221" s="18" t="n">
        <v>0.54</v>
      </c>
      <c r="M221" s="17">
        <f>K221*(1+L221)</f>
        <v/>
      </c>
      <c r="N221" s="14" t="inlineStr">
        <is>
          <t>já existia</t>
        </is>
      </c>
      <c r="O221" s="19" t="inlineStr"/>
    </row>
    <row r="222">
      <c r="A222" s="13" t="inlineStr">
        <is>
          <t>Alça Fita</t>
        </is>
      </c>
      <c r="B222" s="14" t="inlineStr">
        <is>
          <t>45x55</t>
        </is>
      </c>
      <c r="C222" s="14" t="inlineStr">
        <is>
          <t>0,15</t>
        </is>
      </c>
      <c r="D222" s="14" t="inlineStr">
        <is>
          <t>800–899</t>
        </is>
      </c>
      <c r="E222" s="14" t="n">
        <v>800</v>
      </c>
      <c r="F222" s="15" t="n">
        <v>1.76256</v>
      </c>
      <c r="G222" s="15" t="n">
        <v>1.196</v>
      </c>
      <c r="H222" s="15" t="n">
        <v>1.76256</v>
      </c>
      <c r="I222" s="16" t="inlineStr">
        <is>
          <t>Marfel</t>
        </is>
      </c>
      <c r="J222" s="15" t="n">
        <v>0.3</v>
      </c>
      <c r="K222" s="17">
        <f>H222+J222</f>
        <v/>
      </c>
      <c r="L222" s="18" t="n">
        <v>0.51</v>
      </c>
      <c r="M222" s="17">
        <f>K222*(1+L222)</f>
        <v/>
      </c>
      <c r="N222" s="14" t="inlineStr">
        <is>
          <t>já existia</t>
        </is>
      </c>
      <c r="O222" s="19" t="inlineStr"/>
    </row>
    <row r="223">
      <c r="A223" s="13" t="inlineStr">
        <is>
          <t>Alça Fita</t>
        </is>
      </c>
      <c r="B223" s="14" t="inlineStr">
        <is>
          <t>45x55</t>
        </is>
      </c>
      <c r="C223" s="14" t="inlineStr">
        <is>
          <t>0,15</t>
        </is>
      </c>
      <c r="D223" s="14" t="inlineStr">
        <is>
          <t>900–999</t>
        </is>
      </c>
      <c r="E223" s="14" t="n">
        <v>900</v>
      </c>
      <c r="F223" s="15" t="n">
        <v>1.76256</v>
      </c>
      <c r="G223" s="15" t="n">
        <v>1.196</v>
      </c>
      <c r="H223" s="15" t="n">
        <v>1.76256</v>
      </c>
      <c r="I223" s="16" t="inlineStr">
        <is>
          <t>Marfel</t>
        </is>
      </c>
      <c r="J223" s="15" t="n">
        <v>0.3</v>
      </c>
      <c r="K223" s="17">
        <f>H223+J223</f>
        <v/>
      </c>
      <c r="L223" s="18" t="n">
        <v>0.48</v>
      </c>
      <c r="M223" s="17">
        <f>K223*(1+L223)</f>
        <v/>
      </c>
      <c r="N223" s="14" t="inlineStr">
        <is>
          <t>já existia</t>
        </is>
      </c>
      <c r="O223" s="19" t="inlineStr"/>
    </row>
    <row r="224">
      <c r="A224" s="13" t="inlineStr">
        <is>
          <t>Alça Fita</t>
        </is>
      </c>
      <c r="B224" s="14" t="inlineStr">
        <is>
          <t>45x55</t>
        </is>
      </c>
      <c r="C224" s="14" t="inlineStr">
        <is>
          <t>0,15</t>
        </is>
      </c>
      <c r="D224" s="14" t="inlineStr">
        <is>
          <t>1000+</t>
        </is>
      </c>
      <c r="E224" s="14" t="n">
        <v>1000</v>
      </c>
      <c r="F224" s="15" t="n">
        <v>1.76256</v>
      </c>
      <c r="G224" s="15" t="n">
        <v>1.196</v>
      </c>
      <c r="H224" s="15" t="n">
        <v>1.76256</v>
      </c>
      <c r="I224" s="16" t="inlineStr">
        <is>
          <t>Marfel</t>
        </is>
      </c>
      <c r="J224" s="15" t="n">
        <v>0.3</v>
      </c>
      <c r="K224" s="17">
        <f>H224+J224</f>
        <v/>
      </c>
      <c r="L224" s="18" t="n">
        <v>0.4</v>
      </c>
      <c r="M224" s="17">
        <f>K224*(1+L224)</f>
        <v/>
      </c>
      <c r="N224" s="14" t="inlineStr">
        <is>
          <t>já existia</t>
        </is>
      </c>
      <c r="O224" s="19" t="inlineStr"/>
    </row>
    <row r="225">
      <c r="A225" s="6" t="inlineStr">
        <is>
          <t>Alça Vazada</t>
        </is>
      </c>
      <c r="B225" s="7" t="inlineStr">
        <is>
          <t>16x22</t>
        </is>
      </c>
      <c r="C225" s="7" t="inlineStr">
        <is>
          <t>0,10</t>
        </is>
      </c>
      <c r="D225" s="7" t="inlineStr">
        <is>
          <t>100–199</t>
        </is>
      </c>
      <c r="E225" s="7" t="n">
        <v>100</v>
      </c>
      <c r="F225" s="8" t="n">
        <v>0.13032</v>
      </c>
      <c r="G225" s="8" t="n">
        <v>0</v>
      </c>
      <c r="H225" s="8" t="n">
        <v>0.13032</v>
      </c>
      <c r="I225" s="9" t="inlineStr">
        <is>
          <t>Marfel (unico)</t>
        </is>
      </c>
      <c r="J225" s="8" t="n">
        <v>0.3</v>
      </c>
      <c r="K225" s="10">
        <f>H225+J225</f>
        <v/>
      </c>
      <c r="L225" s="11" t="n">
        <v>1</v>
      </c>
      <c r="M225" s="10">
        <f>K225*(1+L225)</f>
        <v/>
      </c>
      <c r="N225" s="7" t="inlineStr">
        <is>
          <t>NOVO (Tabela Marfel V01JUN26)</t>
        </is>
      </c>
      <c r="O225" s="12" t="inlineStr">
        <is>
          <t>Sem custo cadastrado da Alquimia para esta gramatura — usado apenas o valor da Marfel.</t>
        </is>
      </c>
    </row>
    <row r="226">
      <c r="A226" s="6" t="inlineStr">
        <is>
          <t>Alça Vazada</t>
        </is>
      </c>
      <c r="B226" s="7" t="inlineStr">
        <is>
          <t>16x22</t>
        </is>
      </c>
      <c r="C226" s="7" t="inlineStr">
        <is>
          <t>0,10</t>
        </is>
      </c>
      <c r="D226" s="7" t="inlineStr">
        <is>
          <t>200–299</t>
        </is>
      </c>
      <c r="E226" s="7" t="n">
        <v>200</v>
      </c>
      <c r="F226" s="8" t="n">
        <v>0.13032</v>
      </c>
      <c r="G226" s="8" t="n">
        <v>0</v>
      </c>
      <c r="H226" s="8" t="n">
        <v>0.13032</v>
      </c>
      <c r="I226" s="9" t="inlineStr">
        <is>
          <t>Marfel (unico)</t>
        </is>
      </c>
      <c r="J226" s="8" t="n">
        <v>0.3</v>
      </c>
      <c r="K226" s="10">
        <f>H226+J226</f>
        <v/>
      </c>
      <c r="L226" s="11" t="n">
        <v>0.75</v>
      </c>
      <c r="M226" s="10">
        <f>K226*(1+L226)</f>
        <v/>
      </c>
      <c r="N226" s="7" t="inlineStr">
        <is>
          <t>NOVO (Tabela Marfel V01JUN26)</t>
        </is>
      </c>
      <c r="O226" s="12" t="inlineStr">
        <is>
          <t>Sem custo cadastrado da Alquimia para esta gramatura — usado apenas o valor da Marfel.</t>
        </is>
      </c>
    </row>
    <row r="227">
      <c r="A227" s="6" t="inlineStr">
        <is>
          <t>Alça Vazada</t>
        </is>
      </c>
      <c r="B227" s="7" t="inlineStr">
        <is>
          <t>16x22</t>
        </is>
      </c>
      <c r="C227" s="7" t="inlineStr">
        <is>
          <t>0,10</t>
        </is>
      </c>
      <c r="D227" s="7" t="inlineStr">
        <is>
          <t>300–399</t>
        </is>
      </c>
      <c r="E227" s="7" t="n">
        <v>300</v>
      </c>
      <c r="F227" s="8" t="n">
        <v>0.13032</v>
      </c>
      <c r="G227" s="8" t="n">
        <v>0</v>
      </c>
      <c r="H227" s="8" t="n">
        <v>0.13032</v>
      </c>
      <c r="I227" s="9" t="inlineStr">
        <is>
          <t>Marfel (unico)</t>
        </is>
      </c>
      <c r="J227" s="8" t="n">
        <v>0.3</v>
      </c>
      <c r="K227" s="10">
        <f>H227+J227</f>
        <v/>
      </c>
      <c r="L227" s="11" t="n">
        <v>0.7</v>
      </c>
      <c r="M227" s="10">
        <f>K227*(1+L227)</f>
        <v/>
      </c>
      <c r="N227" s="7" t="inlineStr">
        <is>
          <t>NOVO (Tabela Marfel V01JUN26)</t>
        </is>
      </c>
      <c r="O227" s="12" t="inlineStr">
        <is>
          <t>Sem custo cadastrado da Alquimia para esta gramatura — usado apenas o valor da Marfel.</t>
        </is>
      </c>
    </row>
    <row r="228">
      <c r="A228" s="6" t="inlineStr">
        <is>
          <t>Alça Vazada</t>
        </is>
      </c>
      <c r="B228" s="7" t="inlineStr">
        <is>
          <t>16x22</t>
        </is>
      </c>
      <c r="C228" s="7" t="inlineStr">
        <is>
          <t>0,10</t>
        </is>
      </c>
      <c r="D228" s="7" t="inlineStr">
        <is>
          <t>400–499</t>
        </is>
      </c>
      <c r="E228" s="7" t="n">
        <v>400</v>
      </c>
      <c r="F228" s="8" t="n">
        <v>0.13032</v>
      </c>
      <c r="G228" s="8" t="n">
        <v>0</v>
      </c>
      <c r="H228" s="8" t="n">
        <v>0.13032</v>
      </c>
      <c r="I228" s="9" t="inlineStr">
        <is>
          <t>Marfel (unico)</t>
        </is>
      </c>
      <c r="J228" s="8" t="n">
        <v>0.3</v>
      </c>
      <c r="K228" s="10">
        <f>H228+J228</f>
        <v/>
      </c>
      <c r="L228" s="11" t="n">
        <v>0.65</v>
      </c>
      <c r="M228" s="10">
        <f>K228*(1+L228)</f>
        <v/>
      </c>
      <c r="N228" s="7" t="inlineStr">
        <is>
          <t>NOVO (Tabela Marfel V01JUN26)</t>
        </is>
      </c>
      <c r="O228" s="12" t="inlineStr">
        <is>
          <t>Sem custo cadastrado da Alquimia para esta gramatura — usado apenas o valor da Marfel.</t>
        </is>
      </c>
    </row>
    <row r="229">
      <c r="A229" s="6" t="inlineStr">
        <is>
          <t>Alça Vazada</t>
        </is>
      </c>
      <c r="B229" s="7" t="inlineStr">
        <is>
          <t>16x22</t>
        </is>
      </c>
      <c r="C229" s="7" t="inlineStr">
        <is>
          <t>0,10</t>
        </is>
      </c>
      <c r="D229" s="7" t="inlineStr">
        <is>
          <t>500–599</t>
        </is>
      </c>
      <c r="E229" s="7" t="n">
        <v>500</v>
      </c>
      <c r="F229" s="8" t="n">
        <v>0.13032</v>
      </c>
      <c r="G229" s="8" t="n">
        <v>0</v>
      </c>
      <c r="H229" s="8" t="n">
        <v>0.13032</v>
      </c>
      <c r="I229" s="9" t="inlineStr">
        <is>
          <t>Marfel (unico)</t>
        </is>
      </c>
      <c r="J229" s="8" t="n">
        <v>0.3</v>
      </c>
      <c r="K229" s="10">
        <f>H229+J229</f>
        <v/>
      </c>
      <c r="L229" s="11" t="n">
        <v>0.6</v>
      </c>
      <c r="M229" s="10">
        <f>K229*(1+L229)</f>
        <v/>
      </c>
      <c r="N229" s="7" t="inlineStr">
        <is>
          <t>NOVO (Tabela Marfel V01JUN26)</t>
        </is>
      </c>
      <c r="O229" s="12" t="inlineStr">
        <is>
          <t>Sem custo cadastrado da Alquimia para esta gramatura — usado apenas o valor da Marfel.</t>
        </is>
      </c>
    </row>
    <row r="230">
      <c r="A230" s="6" t="inlineStr">
        <is>
          <t>Alça Vazada</t>
        </is>
      </c>
      <c r="B230" s="7" t="inlineStr">
        <is>
          <t>16x22</t>
        </is>
      </c>
      <c r="C230" s="7" t="inlineStr">
        <is>
          <t>0,10</t>
        </is>
      </c>
      <c r="D230" s="7" t="inlineStr">
        <is>
          <t>600–699</t>
        </is>
      </c>
      <c r="E230" s="7" t="n">
        <v>600</v>
      </c>
      <c r="F230" s="8" t="n">
        <v>0.13032</v>
      </c>
      <c r="G230" s="8" t="n">
        <v>0</v>
      </c>
      <c r="H230" s="8" t="n">
        <v>0.13032</v>
      </c>
      <c r="I230" s="9" t="inlineStr">
        <is>
          <t>Marfel (unico)</t>
        </is>
      </c>
      <c r="J230" s="8" t="n">
        <v>0.3</v>
      </c>
      <c r="K230" s="10">
        <f>H230+J230</f>
        <v/>
      </c>
      <c r="L230" s="11" t="n">
        <v>0.57</v>
      </c>
      <c r="M230" s="10">
        <f>K230*(1+L230)</f>
        <v/>
      </c>
      <c r="N230" s="7" t="inlineStr">
        <is>
          <t>NOVO (Tabela Marfel V01JUN26)</t>
        </is>
      </c>
      <c r="O230" s="12" t="inlineStr">
        <is>
          <t>Sem custo cadastrado da Alquimia para esta gramatura — usado apenas o valor da Marfel.</t>
        </is>
      </c>
    </row>
    <row r="231">
      <c r="A231" s="6" t="inlineStr">
        <is>
          <t>Alça Vazada</t>
        </is>
      </c>
      <c r="B231" s="7" t="inlineStr">
        <is>
          <t>16x22</t>
        </is>
      </c>
      <c r="C231" s="7" t="inlineStr">
        <is>
          <t>0,10</t>
        </is>
      </c>
      <c r="D231" s="7" t="inlineStr">
        <is>
          <t>700–799</t>
        </is>
      </c>
      <c r="E231" s="7" t="n">
        <v>700</v>
      </c>
      <c r="F231" s="8" t="n">
        <v>0.13032</v>
      </c>
      <c r="G231" s="8" t="n">
        <v>0</v>
      </c>
      <c r="H231" s="8" t="n">
        <v>0.13032</v>
      </c>
      <c r="I231" s="9" t="inlineStr">
        <is>
          <t>Marfel (unico)</t>
        </is>
      </c>
      <c r="J231" s="8" t="n">
        <v>0.3</v>
      </c>
      <c r="K231" s="10">
        <f>H231+J231</f>
        <v/>
      </c>
      <c r="L231" s="11" t="n">
        <v>0.54</v>
      </c>
      <c r="M231" s="10">
        <f>K231*(1+L231)</f>
        <v/>
      </c>
      <c r="N231" s="7" t="inlineStr">
        <is>
          <t>NOVO (Tabela Marfel V01JUN26)</t>
        </is>
      </c>
      <c r="O231" s="12" t="inlineStr">
        <is>
          <t>Sem custo cadastrado da Alquimia para esta gramatura — usado apenas o valor da Marfel.</t>
        </is>
      </c>
    </row>
    <row r="232">
      <c r="A232" s="6" t="inlineStr">
        <is>
          <t>Alça Vazada</t>
        </is>
      </c>
      <c r="B232" s="7" t="inlineStr">
        <is>
          <t>16x22</t>
        </is>
      </c>
      <c r="C232" s="7" t="inlineStr">
        <is>
          <t>0,10</t>
        </is>
      </c>
      <c r="D232" s="7" t="inlineStr">
        <is>
          <t>800–899</t>
        </is>
      </c>
      <c r="E232" s="7" t="n">
        <v>800</v>
      </c>
      <c r="F232" s="8" t="n">
        <v>0.13032</v>
      </c>
      <c r="G232" s="8" t="n">
        <v>0</v>
      </c>
      <c r="H232" s="8" t="n">
        <v>0.13032</v>
      </c>
      <c r="I232" s="9" t="inlineStr">
        <is>
          <t>Marfel (unico)</t>
        </is>
      </c>
      <c r="J232" s="8" t="n">
        <v>0.3</v>
      </c>
      <c r="K232" s="10">
        <f>H232+J232</f>
        <v/>
      </c>
      <c r="L232" s="11" t="n">
        <v>0.51</v>
      </c>
      <c r="M232" s="10">
        <f>K232*(1+L232)</f>
        <v/>
      </c>
      <c r="N232" s="7" t="inlineStr">
        <is>
          <t>NOVO (Tabela Marfel V01JUN26)</t>
        </is>
      </c>
      <c r="O232" s="12" t="inlineStr">
        <is>
          <t>Sem custo cadastrado da Alquimia para esta gramatura — usado apenas o valor da Marfel.</t>
        </is>
      </c>
    </row>
    <row r="233">
      <c r="A233" s="6" t="inlineStr">
        <is>
          <t>Alça Vazada</t>
        </is>
      </c>
      <c r="B233" s="7" t="inlineStr">
        <is>
          <t>16x22</t>
        </is>
      </c>
      <c r="C233" s="7" t="inlineStr">
        <is>
          <t>0,10</t>
        </is>
      </c>
      <c r="D233" s="7" t="inlineStr">
        <is>
          <t>900–999</t>
        </is>
      </c>
      <c r="E233" s="7" t="n">
        <v>900</v>
      </c>
      <c r="F233" s="8" t="n">
        <v>0.13032</v>
      </c>
      <c r="G233" s="8" t="n">
        <v>0</v>
      </c>
      <c r="H233" s="8" t="n">
        <v>0.13032</v>
      </c>
      <c r="I233" s="9" t="inlineStr">
        <is>
          <t>Marfel (unico)</t>
        </is>
      </c>
      <c r="J233" s="8" t="n">
        <v>0.3</v>
      </c>
      <c r="K233" s="10">
        <f>H233+J233</f>
        <v/>
      </c>
      <c r="L233" s="11" t="n">
        <v>0.48</v>
      </c>
      <c r="M233" s="10">
        <f>K233*(1+L233)</f>
        <v/>
      </c>
      <c r="N233" s="7" t="inlineStr">
        <is>
          <t>NOVO (Tabela Marfel V01JUN26)</t>
        </is>
      </c>
      <c r="O233" s="12" t="inlineStr">
        <is>
          <t>Sem custo cadastrado da Alquimia para esta gramatura — usado apenas o valor da Marfel.</t>
        </is>
      </c>
    </row>
    <row r="234">
      <c r="A234" s="6" t="inlineStr">
        <is>
          <t>Alça Vazada</t>
        </is>
      </c>
      <c r="B234" s="7" t="inlineStr">
        <is>
          <t>16x22</t>
        </is>
      </c>
      <c r="C234" s="7" t="inlineStr">
        <is>
          <t>0,10</t>
        </is>
      </c>
      <c r="D234" s="7" t="inlineStr">
        <is>
          <t>1000+</t>
        </is>
      </c>
      <c r="E234" s="7" t="n">
        <v>1000</v>
      </c>
      <c r="F234" s="8" t="n">
        <v>0.13032</v>
      </c>
      <c r="G234" s="8" t="n">
        <v>0</v>
      </c>
      <c r="H234" s="8" t="n">
        <v>0.13032</v>
      </c>
      <c r="I234" s="9" t="inlineStr">
        <is>
          <t>Marfel (unico)</t>
        </is>
      </c>
      <c r="J234" s="8" t="n">
        <v>0.3</v>
      </c>
      <c r="K234" s="10">
        <f>H234+J234</f>
        <v/>
      </c>
      <c r="L234" s="11" t="n">
        <v>0.4</v>
      </c>
      <c r="M234" s="10">
        <f>K234*(1+L234)</f>
        <v/>
      </c>
      <c r="N234" s="7" t="inlineStr">
        <is>
          <t>NOVO (Tabela Marfel V01JUN26)</t>
        </is>
      </c>
      <c r="O234" s="12" t="inlineStr">
        <is>
          <t>Sem custo cadastrado da Alquimia para esta gramatura — usado apenas o valor da Marfel.</t>
        </is>
      </c>
    </row>
    <row r="235">
      <c r="A235" s="6" t="inlineStr">
        <is>
          <t>Alça Vazada</t>
        </is>
      </c>
      <c r="B235" s="7" t="inlineStr">
        <is>
          <t>20x30</t>
        </is>
      </c>
      <c r="C235" s="7" t="inlineStr">
        <is>
          <t>0,06</t>
        </is>
      </c>
      <c r="D235" s="7" t="inlineStr">
        <is>
          <t>100–199</t>
        </is>
      </c>
      <c r="E235" s="7" t="n">
        <v>100</v>
      </c>
      <c r="F235" s="8" t="n">
        <v>0.1368</v>
      </c>
      <c r="G235" s="8" t="n">
        <v>0</v>
      </c>
      <c r="H235" s="8" t="n">
        <v>0.1368</v>
      </c>
      <c r="I235" s="9" t="inlineStr">
        <is>
          <t>Marfel (unico)</t>
        </is>
      </c>
      <c r="J235" s="8" t="n">
        <v>0.3</v>
      </c>
      <c r="K235" s="10">
        <f>H235+J235</f>
        <v/>
      </c>
      <c r="L235" s="11" t="n">
        <v>1</v>
      </c>
      <c r="M235" s="10">
        <f>K235*(1+L235)</f>
        <v/>
      </c>
      <c r="N235" s="7" t="inlineStr">
        <is>
          <t>NOVO (Tabela Marfel V01JUN26)</t>
        </is>
      </c>
      <c r="O235" s="12" t="inlineStr">
        <is>
          <t>Sem custo cadastrado da Alquimia para esta gramatura — usado apenas o valor da Marfel.</t>
        </is>
      </c>
    </row>
    <row r="236">
      <c r="A236" s="6" t="inlineStr">
        <is>
          <t>Alça Vazada</t>
        </is>
      </c>
      <c r="B236" s="7" t="inlineStr">
        <is>
          <t>20x30</t>
        </is>
      </c>
      <c r="C236" s="7" t="inlineStr">
        <is>
          <t>0,06</t>
        </is>
      </c>
      <c r="D236" s="7" t="inlineStr">
        <is>
          <t>200–299</t>
        </is>
      </c>
      <c r="E236" s="7" t="n">
        <v>200</v>
      </c>
      <c r="F236" s="8" t="n">
        <v>0.1368</v>
      </c>
      <c r="G236" s="8" t="n">
        <v>0</v>
      </c>
      <c r="H236" s="8" t="n">
        <v>0.1368</v>
      </c>
      <c r="I236" s="9" t="inlineStr">
        <is>
          <t>Marfel (unico)</t>
        </is>
      </c>
      <c r="J236" s="8" t="n">
        <v>0.3</v>
      </c>
      <c r="K236" s="10">
        <f>H236+J236</f>
        <v/>
      </c>
      <c r="L236" s="11" t="n">
        <v>0.75</v>
      </c>
      <c r="M236" s="10">
        <f>K236*(1+L236)</f>
        <v/>
      </c>
      <c r="N236" s="7" t="inlineStr">
        <is>
          <t>NOVO (Tabela Marfel V01JUN26)</t>
        </is>
      </c>
      <c r="O236" s="12" t="inlineStr">
        <is>
          <t>Sem custo cadastrado da Alquimia para esta gramatura — usado apenas o valor da Marfel.</t>
        </is>
      </c>
    </row>
    <row r="237">
      <c r="A237" s="6" t="inlineStr">
        <is>
          <t>Alça Vazada</t>
        </is>
      </c>
      <c r="B237" s="7" t="inlineStr">
        <is>
          <t>20x30</t>
        </is>
      </c>
      <c r="C237" s="7" t="inlineStr">
        <is>
          <t>0,06</t>
        </is>
      </c>
      <c r="D237" s="7" t="inlineStr">
        <is>
          <t>300–399</t>
        </is>
      </c>
      <c r="E237" s="7" t="n">
        <v>300</v>
      </c>
      <c r="F237" s="8" t="n">
        <v>0.1368</v>
      </c>
      <c r="G237" s="8" t="n">
        <v>0</v>
      </c>
      <c r="H237" s="8" t="n">
        <v>0.1368</v>
      </c>
      <c r="I237" s="9" t="inlineStr">
        <is>
          <t>Marfel (unico)</t>
        </is>
      </c>
      <c r="J237" s="8" t="n">
        <v>0.3</v>
      </c>
      <c r="K237" s="10">
        <f>H237+J237</f>
        <v/>
      </c>
      <c r="L237" s="11" t="n">
        <v>0.7</v>
      </c>
      <c r="M237" s="10">
        <f>K237*(1+L237)</f>
        <v/>
      </c>
      <c r="N237" s="7" t="inlineStr">
        <is>
          <t>NOVO (Tabela Marfel V01JUN26)</t>
        </is>
      </c>
      <c r="O237" s="12" t="inlineStr">
        <is>
          <t>Sem custo cadastrado da Alquimia para esta gramatura — usado apenas o valor da Marfel.</t>
        </is>
      </c>
    </row>
    <row r="238">
      <c r="A238" s="6" t="inlineStr">
        <is>
          <t>Alça Vazada</t>
        </is>
      </c>
      <c r="B238" s="7" t="inlineStr">
        <is>
          <t>20x30</t>
        </is>
      </c>
      <c r="C238" s="7" t="inlineStr">
        <is>
          <t>0,06</t>
        </is>
      </c>
      <c r="D238" s="7" t="inlineStr">
        <is>
          <t>400–499</t>
        </is>
      </c>
      <c r="E238" s="7" t="n">
        <v>400</v>
      </c>
      <c r="F238" s="8" t="n">
        <v>0.1368</v>
      </c>
      <c r="G238" s="8" t="n">
        <v>0</v>
      </c>
      <c r="H238" s="8" t="n">
        <v>0.1368</v>
      </c>
      <c r="I238" s="9" t="inlineStr">
        <is>
          <t>Marfel (unico)</t>
        </is>
      </c>
      <c r="J238" s="8" t="n">
        <v>0.3</v>
      </c>
      <c r="K238" s="10">
        <f>H238+J238</f>
        <v/>
      </c>
      <c r="L238" s="11" t="n">
        <v>0.65</v>
      </c>
      <c r="M238" s="10">
        <f>K238*(1+L238)</f>
        <v/>
      </c>
      <c r="N238" s="7" t="inlineStr">
        <is>
          <t>NOVO (Tabela Marfel V01JUN26)</t>
        </is>
      </c>
      <c r="O238" s="12" t="inlineStr">
        <is>
          <t>Sem custo cadastrado da Alquimia para esta gramatura — usado apenas o valor da Marfel.</t>
        </is>
      </c>
    </row>
    <row r="239">
      <c r="A239" s="6" t="inlineStr">
        <is>
          <t>Alça Vazada</t>
        </is>
      </c>
      <c r="B239" s="7" t="inlineStr">
        <is>
          <t>20x30</t>
        </is>
      </c>
      <c r="C239" s="7" t="inlineStr">
        <is>
          <t>0,06</t>
        </is>
      </c>
      <c r="D239" s="7" t="inlineStr">
        <is>
          <t>500–599</t>
        </is>
      </c>
      <c r="E239" s="7" t="n">
        <v>500</v>
      </c>
      <c r="F239" s="8" t="n">
        <v>0.1368</v>
      </c>
      <c r="G239" s="8" t="n">
        <v>0</v>
      </c>
      <c r="H239" s="8" t="n">
        <v>0.1368</v>
      </c>
      <c r="I239" s="9" t="inlineStr">
        <is>
          <t>Marfel (unico)</t>
        </is>
      </c>
      <c r="J239" s="8" t="n">
        <v>0.3</v>
      </c>
      <c r="K239" s="10">
        <f>H239+J239</f>
        <v/>
      </c>
      <c r="L239" s="11" t="n">
        <v>0.6</v>
      </c>
      <c r="M239" s="10">
        <f>K239*(1+L239)</f>
        <v/>
      </c>
      <c r="N239" s="7" t="inlineStr">
        <is>
          <t>NOVO (Tabela Marfel V01JUN26)</t>
        </is>
      </c>
      <c r="O239" s="12" t="inlineStr">
        <is>
          <t>Sem custo cadastrado da Alquimia para esta gramatura — usado apenas o valor da Marfel.</t>
        </is>
      </c>
    </row>
    <row r="240">
      <c r="A240" s="6" t="inlineStr">
        <is>
          <t>Alça Vazada</t>
        </is>
      </c>
      <c r="B240" s="7" t="inlineStr">
        <is>
          <t>20x30</t>
        </is>
      </c>
      <c r="C240" s="7" t="inlineStr">
        <is>
          <t>0,06</t>
        </is>
      </c>
      <c r="D240" s="7" t="inlineStr">
        <is>
          <t>600–699</t>
        </is>
      </c>
      <c r="E240" s="7" t="n">
        <v>600</v>
      </c>
      <c r="F240" s="8" t="n">
        <v>0.1368</v>
      </c>
      <c r="G240" s="8" t="n">
        <v>0</v>
      </c>
      <c r="H240" s="8" t="n">
        <v>0.1368</v>
      </c>
      <c r="I240" s="9" t="inlineStr">
        <is>
          <t>Marfel (unico)</t>
        </is>
      </c>
      <c r="J240" s="8" t="n">
        <v>0.3</v>
      </c>
      <c r="K240" s="10">
        <f>H240+J240</f>
        <v/>
      </c>
      <c r="L240" s="11" t="n">
        <v>0.57</v>
      </c>
      <c r="M240" s="10">
        <f>K240*(1+L240)</f>
        <v/>
      </c>
      <c r="N240" s="7" t="inlineStr">
        <is>
          <t>NOVO (Tabela Marfel V01JUN26)</t>
        </is>
      </c>
      <c r="O240" s="12" t="inlineStr">
        <is>
          <t>Sem custo cadastrado da Alquimia para esta gramatura — usado apenas o valor da Marfel.</t>
        </is>
      </c>
    </row>
    <row r="241">
      <c r="A241" s="6" t="inlineStr">
        <is>
          <t>Alça Vazada</t>
        </is>
      </c>
      <c r="B241" s="7" t="inlineStr">
        <is>
          <t>20x30</t>
        </is>
      </c>
      <c r="C241" s="7" t="inlineStr">
        <is>
          <t>0,06</t>
        </is>
      </c>
      <c r="D241" s="7" t="inlineStr">
        <is>
          <t>700–799</t>
        </is>
      </c>
      <c r="E241" s="7" t="n">
        <v>700</v>
      </c>
      <c r="F241" s="8" t="n">
        <v>0.1368</v>
      </c>
      <c r="G241" s="8" t="n">
        <v>0</v>
      </c>
      <c r="H241" s="8" t="n">
        <v>0.1368</v>
      </c>
      <c r="I241" s="9" t="inlineStr">
        <is>
          <t>Marfel (unico)</t>
        </is>
      </c>
      <c r="J241" s="8" t="n">
        <v>0.3</v>
      </c>
      <c r="K241" s="10">
        <f>H241+J241</f>
        <v/>
      </c>
      <c r="L241" s="11" t="n">
        <v>0.54</v>
      </c>
      <c r="M241" s="10">
        <f>K241*(1+L241)</f>
        <v/>
      </c>
      <c r="N241" s="7" t="inlineStr">
        <is>
          <t>NOVO (Tabela Marfel V01JUN26)</t>
        </is>
      </c>
      <c r="O241" s="12" t="inlineStr">
        <is>
          <t>Sem custo cadastrado da Alquimia para esta gramatura — usado apenas o valor da Marfel.</t>
        </is>
      </c>
    </row>
    <row r="242">
      <c r="A242" s="6" t="inlineStr">
        <is>
          <t>Alça Vazada</t>
        </is>
      </c>
      <c r="B242" s="7" t="inlineStr">
        <is>
          <t>20x30</t>
        </is>
      </c>
      <c r="C242" s="7" t="inlineStr">
        <is>
          <t>0,06</t>
        </is>
      </c>
      <c r="D242" s="7" t="inlineStr">
        <is>
          <t>800–899</t>
        </is>
      </c>
      <c r="E242" s="7" t="n">
        <v>800</v>
      </c>
      <c r="F242" s="8" t="n">
        <v>0.1368</v>
      </c>
      <c r="G242" s="8" t="n">
        <v>0</v>
      </c>
      <c r="H242" s="8" t="n">
        <v>0.1368</v>
      </c>
      <c r="I242" s="9" t="inlineStr">
        <is>
          <t>Marfel (unico)</t>
        </is>
      </c>
      <c r="J242" s="8" t="n">
        <v>0.3</v>
      </c>
      <c r="K242" s="10">
        <f>H242+J242</f>
        <v/>
      </c>
      <c r="L242" s="11" t="n">
        <v>0.51</v>
      </c>
      <c r="M242" s="10">
        <f>K242*(1+L242)</f>
        <v/>
      </c>
      <c r="N242" s="7" t="inlineStr">
        <is>
          <t>NOVO (Tabela Marfel V01JUN26)</t>
        </is>
      </c>
      <c r="O242" s="12" t="inlineStr">
        <is>
          <t>Sem custo cadastrado da Alquimia para esta gramatura — usado apenas o valor da Marfel.</t>
        </is>
      </c>
    </row>
    <row r="243">
      <c r="A243" s="6" t="inlineStr">
        <is>
          <t>Alça Vazada</t>
        </is>
      </c>
      <c r="B243" s="7" t="inlineStr">
        <is>
          <t>20x30</t>
        </is>
      </c>
      <c r="C243" s="7" t="inlineStr">
        <is>
          <t>0,06</t>
        </is>
      </c>
      <c r="D243" s="7" t="inlineStr">
        <is>
          <t>900–999</t>
        </is>
      </c>
      <c r="E243" s="7" t="n">
        <v>900</v>
      </c>
      <c r="F243" s="8" t="n">
        <v>0.1368</v>
      </c>
      <c r="G243" s="8" t="n">
        <v>0</v>
      </c>
      <c r="H243" s="8" t="n">
        <v>0.1368</v>
      </c>
      <c r="I243" s="9" t="inlineStr">
        <is>
          <t>Marfel (unico)</t>
        </is>
      </c>
      <c r="J243" s="8" t="n">
        <v>0.3</v>
      </c>
      <c r="K243" s="10">
        <f>H243+J243</f>
        <v/>
      </c>
      <c r="L243" s="11" t="n">
        <v>0.48</v>
      </c>
      <c r="M243" s="10">
        <f>K243*(1+L243)</f>
        <v/>
      </c>
      <c r="N243" s="7" t="inlineStr">
        <is>
          <t>NOVO (Tabela Marfel V01JUN26)</t>
        </is>
      </c>
      <c r="O243" s="12" t="inlineStr">
        <is>
          <t>Sem custo cadastrado da Alquimia para esta gramatura — usado apenas o valor da Marfel.</t>
        </is>
      </c>
    </row>
    <row r="244">
      <c r="A244" s="6" t="inlineStr">
        <is>
          <t>Alça Vazada</t>
        </is>
      </c>
      <c r="B244" s="7" t="inlineStr">
        <is>
          <t>20x30</t>
        </is>
      </c>
      <c r="C244" s="7" t="inlineStr">
        <is>
          <t>0,06</t>
        </is>
      </c>
      <c r="D244" s="7" t="inlineStr">
        <is>
          <t>1000+</t>
        </is>
      </c>
      <c r="E244" s="7" t="n">
        <v>1000</v>
      </c>
      <c r="F244" s="8" t="n">
        <v>0.1368</v>
      </c>
      <c r="G244" s="8" t="n">
        <v>0</v>
      </c>
      <c r="H244" s="8" t="n">
        <v>0.1368</v>
      </c>
      <c r="I244" s="9" t="inlineStr">
        <is>
          <t>Marfel (unico)</t>
        </is>
      </c>
      <c r="J244" s="8" t="n">
        <v>0.3</v>
      </c>
      <c r="K244" s="10">
        <f>H244+J244</f>
        <v/>
      </c>
      <c r="L244" s="11" t="n">
        <v>0.4</v>
      </c>
      <c r="M244" s="10">
        <f>K244*(1+L244)</f>
        <v/>
      </c>
      <c r="N244" s="7" t="inlineStr">
        <is>
          <t>NOVO (Tabela Marfel V01JUN26)</t>
        </is>
      </c>
      <c r="O244" s="12" t="inlineStr">
        <is>
          <t>Sem custo cadastrado da Alquimia para esta gramatura — usado apenas o valor da Marfel.</t>
        </is>
      </c>
    </row>
    <row r="245">
      <c r="A245" s="13" t="inlineStr">
        <is>
          <t>Alça Vazada</t>
        </is>
      </c>
      <c r="B245" s="14" t="inlineStr">
        <is>
          <t>20x30</t>
        </is>
      </c>
      <c r="C245" s="14" t="inlineStr">
        <is>
          <t>0,08</t>
        </is>
      </c>
      <c r="D245" s="14" t="inlineStr">
        <is>
          <t>100–199</t>
        </is>
      </c>
      <c r="E245" s="14" t="n">
        <v>100</v>
      </c>
      <c r="F245" s="15" t="n">
        <v>0.171</v>
      </c>
      <c r="G245" s="15" t="n">
        <v>0.1219</v>
      </c>
      <c r="H245" s="15" t="n">
        <v>0.171</v>
      </c>
      <c r="I245" s="16" t="inlineStr">
        <is>
          <t>Marfel</t>
        </is>
      </c>
      <c r="J245" s="15" t="n">
        <v>0.3</v>
      </c>
      <c r="K245" s="17">
        <f>H245+J245</f>
        <v/>
      </c>
      <c r="L245" s="18" t="n">
        <v>1</v>
      </c>
      <c r="M245" s="17">
        <f>K245*(1+L245)</f>
        <v/>
      </c>
      <c r="N245" s="14" t="inlineStr">
        <is>
          <t>já existia</t>
        </is>
      </c>
      <c r="O245" s="19" t="inlineStr"/>
    </row>
    <row r="246">
      <c r="A246" s="13" t="inlineStr">
        <is>
          <t>Alça Vazada</t>
        </is>
      </c>
      <c r="B246" s="14" t="inlineStr">
        <is>
          <t>20x30</t>
        </is>
      </c>
      <c r="C246" s="14" t="inlineStr">
        <is>
          <t>0,08</t>
        </is>
      </c>
      <c r="D246" s="14" t="inlineStr">
        <is>
          <t>200–299</t>
        </is>
      </c>
      <c r="E246" s="14" t="n">
        <v>200</v>
      </c>
      <c r="F246" s="15" t="n">
        <v>0.171</v>
      </c>
      <c r="G246" s="15" t="n">
        <v>0.1219</v>
      </c>
      <c r="H246" s="15" t="n">
        <v>0.171</v>
      </c>
      <c r="I246" s="16" t="inlineStr">
        <is>
          <t>Marfel</t>
        </is>
      </c>
      <c r="J246" s="15" t="n">
        <v>0.3</v>
      </c>
      <c r="K246" s="17">
        <f>H246+J246</f>
        <v/>
      </c>
      <c r="L246" s="18" t="n">
        <v>0.75</v>
      </c>
      <c r="M246" s="17">
        <f>K246*(1+L246)</f>
        <v/>
      </c>
      <c r="N246" s="14" t="inlineStr">
        <is>
          <t>já existia</t>
        </is>
      </c>
      <c r="O246" s="19" t="inlineStr"/>
    </row>
    <row r="247">
      <c r="A247" s="13" t="inlineStr">
        <is>
          <t>Alça Vazada</t>
        </is>
      </c>
      <c r="B247" s="14" t="inlineStr">
        <is>
          <t>20x30</t>
        </is>
      </c>
      <c r="C247" s="14" t="inlineStr">
        <is>
          <t>0,08</t>
        </is>
      </c>
      <c r="D247" s="14" t="inlineStr">
        <is>
          <t>300–399</t>
        </is>
      </c>
      <c r="E247" s="14" t="n">
        <v>300</v>
      </c>
      <c r="F247" s="15" t="n">
        <v>0.171</v>
      </c>
      <c r="G247" s="15" t="n">
        <v>0.1219</v>
      </c>
      <c r="H247" s="15" t="n">
        <v>0.171</v>
      </c>
      <c r="I247" s="16" t="inlineStr">
        <is>
          <t>Marfel</t>
        </is>
      </c>
      <c r="J247" s="15" t="n">
        <v>0.3</v>
      </c>
      <c r="K247" s="17">
        <f>H247+J247</f>
        <v/>
      </c>
      <c r="L247" s="18" t="n">
        <v>0.7</v>
      </c>
      <c r="M247" s="17">
        <f>K247*(1+L247)</f>
        <v/>
      </c>
      <c r="N247" s="14" t="inlineStr">
        <is>
          <t>já existia</t>
        </is>
      </c>
      <c r="O247" s="19" t="inlineStr"/>
    </row>
    <row r="248">
      <c r="A248" s="13" t="inlineStr">
        <is>
          <t>Alça Vazada</t>
        </is>
      </c>
      <c r="B248" s="14" t="inlineStr">
        <is>
          <t>20x30</t>
        </is>
      </c>
      <c r="C248" s="14" t="inlineStr">
        <is>
          <t>0,08</t>
        </is>
      </c>
      <c r="D248" s="14" t="inlineStr">
        <is>
          <t>400–499</t>
        </is>
      </c>
      <c r="E248" s="14" t="n">
        <v>400</v>
      </c>
      <c r="F248" s="15" t="n">
        <v>0.171</v>
      </c>
      <c r="G248" s="15" t="n">
        <v>0.1219</v>
      </c>
      <c r="H248" s="15" t="n">
        <v>0.171</v>
      </c>
      <c r="I248" s="16" t="inlineStr">
        <is>
          <t>Marfel</t>
        </is>
      </c>
      <c r="J248" s="15" t="n">
        <v>0.3</v>
      </c>
      <c r="K248" s="17">
        <f>H248+J248</f>
        <v/>
      </c>
      <c r="L248" s="18" t="n">
        <v>0.65</v>
      </c>
      <c r="M248" s="17">
        <f>K248*(1+L248)</f>
        <v/>
      </c>
      <c r="N248" s="14" t="inlineStr">
        <is>
          <t>já existia</t>
        </is>
      </c>
      <c r="O248" s="19" t="inlineStr"/>
    </row>
    <row r="249">
      <c r="A249" s="13" t="inlineStr">
        <is>
          <t>Alça Vazada</t>
        </is>
      </c>
      <c r="B249" s="14" t="inlineStr">
        <is>
          <t>20x30</t>
        </is>
      </c>
      <c r="C249" s="14" t="inlineStr">
        <is>
          <t>0,08</t>
        </is>
      </c>
      <c r="D249" s="14" t="inlineStr">
        <is>
          <t>500–599</t>
        </is>
      </c>
      <c r="E249" s="14" t="n">
        <v>500</v>
      </c>
      <c r="F249" s="15" t="n">
        <v>0.171</v>
      </c>
      <c r="G249" s="15" t="n">
        <v>0.1219</v>
      </c>
      <c r="H249" s="15" t="n">
        <v>0.171</v>
      </c>
      <c r="I249" s="16" t="inlineStr">
        <is>
          <t>Marfel</t>
        </is>
      </c>
      <c r="J249" s="15" t="n">
        <v>0.3</v>
      </c>
      <c r="K249" s="17">
        <f>H249+J249</f>
        <v/>
      </c>
      <c r="L249" s="18" t="n">
        <v>0.6</v>
      </c>
      <c r="M249" s="17">
        <f>K249*(1+L249)</f>
        <v/>
      </c>
      <c r="N249" s="14" t="inlineStr">
        <is>
          <t>já existia</t>
        </is>
      </c>
      <c r="O249" s="19" t="inlineStr"/>
    </row>
    <row r="250">
      <c r="A250" s="13" t="inlineStr">
        <is>
          <t>Alça Vazada</t>
        </is>
      </c>
      <c r="B250" s="14" t="inlineStr">
        <is>
          <t>20x30</t>
        </is>
      </c>
      <c r="C250" s="14" t="inlineStr">
        <is>
          <t>0,08</t>
        </is>
      </c>
      <c r="D250" s="14" t="inlineStr">
        <is>
          <t>600–699</t>
        </is>
      </c>
      <c r="E250" s="14" t="n">
        <v>600</v>
      </c>
      <c r="F250" s="15" t="n">
        <v>0.171</v>
      </c>
      <c r="G250" s="15" t="n">
        <v>0.1219</v>
      </c>
      <c r="H250" s="15" t="n">
        <v>0.171</v>
      </c>
      <c r="I250" s="16" t="inlineStr">
        <is>
          <t>Marfel</t>
        </is>
      </c>
      <c r="J250" s="15" t="n">
        <v>0.3</v>
      </c>
      <c r="K250" s="17">
        <f>H250+J250</f>
        <v/>
      </c>
      <c r="L250" s="18" t="n">
        <v>0.57</v>
      </c>
      <c r="M250" s="17">
        <f>K250*(1+L250)</f>
        <v/>
      </c>
      <c r="N250" s="14" t="inlineStr">
        <is>
          <t>já existia</t>
        </is>
      </c>
      <c r="O250" s="19" t="inlineStr"/>
    </row>
    <row r="251">
      <c r="A251" s="13" t="inlineStr">
        <is>
          <t>Alça Vazada</t>
        </is>
      </c>
      <c r="B251" s="14" t="inlineStr">
        <is>
          <t>20x30</t>
        </is>
      </c>
      <c r="C251" s="14" t="inlineStr">
        <is>
          <t>0,08</t>
        </is>
      </c>
      <c r="D251" s="14" t="inlineStr">
        <is>
          <t>700–799</t>
        </is>
      </c>
      <c r="E251" s="14" t="n">
        <v>700</v>
      </c>
      <c r="F251" s="15" t="n">
        <v>0.171</v>
      </c>
      <c r="G251" s="15" t="n">
        <v>0.1219</v>
      </c>
      <c r="H251" s="15" t="n">
        <v>0.171</v>
      </c>
      <c r="I251" s="16" t="inlineStr">
        <is>
          <t>Marfel</t>
        </is>
      </c>
      <c r="J251" s="15" t="n">
        <v>0.3</v>
      </c>
      <c r="K251" s="17">
        <f>H251+J251</f>
        <v/>
      </c>
      <c r="L251" s="18" t="n">
        <v>0.54</v>
      </c>
      <c r="M251" s="17">
        <f>K251*(1+L251)</f>
        <v/>
      </c>
      <c r="N251" s="14" t="inlineStr">
        <is>
          <t>já existia</t>
        </is>
      </c>
      <c r="O251" s="19" t="inlineStr"/>
    </row>
    <row r="252">
      <c r="A252" s="13" t="inlineStr">
        <is>
          <t>Alça Vazada</t>
        </is>
      </c>
      <c r="B252" s="14" t="inlineStr">
        <is>
          <t>20x30</t>
        </is>
      </c>
      <c r="C252" s="14" t="inlineStr">
        <is>
          <t>0,08</t>
        </is>
      </c>
      <c r="D252" s="14" t="inlineStr">
        <is>
          <t>800–899</t>
        </is>
      </c>
      <c r="E252" s="14" t="n">
        <v>800</v>
      </c>
      <c r="F252" s="15" t="n">
        <v>0.171</v>
      </c>
      <c r="G252" s="15" t="n">
        <v>0.1219</v>
      </c>
      <c r="H252" s="15" t="n">
        <v>0.171</v>
      </c>
      <c r="I252" s="16" t="inlineStr">
        <is>
          <t>Marfel</t>
        </is>
      </c>
      <c r="J252" s="15" t="n">
        <v>0.3</v>
      </c>
      <c r="K252" s="17">
        <f>H252+J252</f>
        <v/>
      </c>
      <c r="L252" s="18" t="n">
        <v>0.51</v>
      </c>
      <c r="M252" s="17">
        <f>K252*(1+L252)</f>
        <v/>
      </c>
      <c r="N252" s="14" t="inlineStr">
        <is>
          <t>já existia</t>
        </is>
      </c>
      <c r="O252" s="19" t="inlineStr"/>
    </row>
    <row r="253">
      <c r="A253" s="13" t="inlineStr">
        <is>
          <t>Alça Vazada</t>
        </is>
      </c>
      <c r="B253" s="14" t="inlineStr">
        <is>
          <t>20x30</t>
        </is>
      </c>
      <c r="C253" s="14" t="inlineStr">
        <is>
          <t>0,08</t>
        </is>
      </c>
      <c r="D253" s="14" t="inlineStr">
        <is>
          <t>900–999</t>
        </is>
      </c>
      <c r="E253" s="14" t="n">
        <v>900</v>
      </c>
      <c r="F253" s="15" t="n">
        <v>0.171</v>
      </c>
      <c r="G253" s="15" t="n">
        <v>0.1219</v>
      </c>
      <c r="H253" s="15" t="n">
        <v>0.171</v>
      </c>
      <c r="I253" s="16" t="inlineStr">
        <is>
          <t>Marfel</t>
        </is>
      </c>
      <c r="J253" s="15" t="n">
        <v>0.3</v>
      </c>
      <c r="K253" s="17">
        <f>H253+J253</f>
        <v/>
      </c>
      <c r="L253" s="18" t="n">
        <v>0.48</v>
      </c>
      <c r="M253" s="17">
        <f>K253*(1+L253)</f>
        <v/>
      </c>
      <c r="N253" s="14" t="inlineStr">
        <is>
          <t>já existia</t>
        </is>
      </c>
      <c r="O253" s="19" t="inlineStr"/>
    </row>
    <row r="254">
      <c r="A254" s="13" t="inlineStr">
        <is>
          <t>Alça Vazada</t>
        </is>
      </c>
      <c r="B254" s="14" t="inlineStr">
        <is>
          <t>20x30</t>
        </is>
      </c>
      <c r="C254" s="14" t="inlineStr">
        <is>
          <t>0,08</t>
        </is>
      </c>
      <c r="D254" s="14" t="inlineStr">
        <is>
          <t>1000+</t>
        </is>
      </c>
      <c r="E254" s="14" t="n">
        <v>1000</v>
      </c>
      <c r="F254" s="15" t="n">
        <v>0.171</v>
      </c>
      <c r="G254" s="15" t="n">
        <v>0.1219</v>
      </c>
      <c r="H254" s="15" t="n">
        <v>0.171</v>
      </c>
      <c r="I254" s="16" t="inlineStr">
        <is>
          <t>Marfel</t>
        </is>
      </c>
      <c r="J254" s="15" t="n">
        <v>0.3</v>
      </c>
      <c r="K254" s="17">
        <f>H254+J254</f>
        <v/>
      </c>
      <c r="L254" s="18" t="n">
        <v>0.4</v>
      </c>
      <c r="M254" s="17">
        <f>K254*(1+L254)</f>
        <v/>
      </c>
      <c r="N254" s="14" t="inlineStr">
        <is>
          <t>já existia</t>
        </is>
      </c>
      <c r="O254" s="19" t="inlineStr"/>
    </row>
    <row r="255">
      <c r="A255" s="6" t="inlineStr">
        <is>
          <t>Alça Vazada</t>
        </is>
      </c>
      <c r="B255" s="7" t="inlineStr">
        <is>
          <t>20x30</t>
        </is>
      </c>
      <c r="C255" s="7" t="inlineStr">
        <is>
          <t>0,12</t>
        </is>
      </c>
      <c r="D255" s="7" t="inlineStr">
        <is>
          <t>100–199</t>
        </is>
      </c>
      <c r="E255" s="7" t="n">
        <v>100</v>
      </c>
      <c r="F255" s="8" t="n">
        <v>0.24624</v>
      </c>
      <c r="G255" s="8" t="n">
        <v>0</v>
      </c>
      <c r="H255" s="8" t="n">
        <v>0.24624</v>
      </c>
      <c r="I255" s="9" t="inlineStr">
        <is>
          <t>Marfel (unico)</t>
        </is>
      </c>
      <c r="J255" s="8" t="n">
        <v>0.3</v>
      </c>
      <c r="K255" s="10">
        <f>H255+J255</f>
        <v/>
      </c>
      <c r="L255" s="11" t="n">
        <v>1</v>
      </c>
      <c r="M255" s="10">
        <f>K255*(1+L255)</f>
        <v/>
      </c>
      <c r="N255" s="7" t="inlineStr">
        <is>
          <t>NOVO (Tabela Marfel V01JUN26)</t>
        </is>
      </c>
      <c r="O255" s="12" t="inlineStr">
        <is>
          <t>Sem custo cadastrado da Alquimia para esta gramatura — usado apenas o valor da Marfel.</t>
        </is>
      </c>
    </row>
    <row r="256">
      <c r="A256" s="6" t="inlineStr">
        <is>
          <t>Alça Vazada</t>
        </is>
      </c>
      <c r="B256" s="7" t="inlineStr">
        <is>
          <t>20x30</t>
        </is>
      </c>
      <c r="C256" s="7" t="inlineStr">
        <is>
          <t>0,12</t>
        </is>
      </c>
      <c r="D256" s="7" t="inlineStr">
        <is>
          <t>200–299</t>
        </is>
      </c>
      <c r="E256" s="7" t="n">
        <v>200</v>
      </c>
      <c r="F256" s="8" t="n">
        <v>0.24624</v>
      </c>
      <c r="G256" s="8" t="n">
        <v>0</v>
      </c>
      <c r="H256" s="8" t="n">
        <v>0.24624</v>
      </c>
      <c r="I256" s="9" t="inlineStr">
        <is>
          <t>Marfel (unico)</t>
        </is>
      </c>
      <c r="J256" s="8" t="n">
        <v>0.3</v>
      </c>
      <c r="K256" s="10">
        <f>H256+J256</f>
        <v/>
      </c>
      <c r="L256" s="11" t="n">
        <v>0.75</v>
      </c>
      <c r="M256" s="10">
        <f>K256*(1+L256)</f>
        <v/>
      </c>
      <c r="N256" s="7" t="inlineStr">
        <is>
          <t>NOVO (Tabela Marfel V01JUN26)</t>
        </is>
      </c>
      <c r="O256" s="12" t="inlineStr">
        <is>
          <t>Sem custo cadastrado da Alquimia para esta gramatura — usado apenas o valor da Marfel.</t>
        </is>
      </c>
    </row>
    <row r="257">
      <c r="A257" s="6" t="inlineStr">
        <is>
          <t>Alça Vazada</t>
        </is>
      </c>
      <c r="B257" s="7" t="inlineStr">
        <is>
          <t>20x30</t>
        </is>
      </c>
      <c r="C257" s="7" t="inlineStr">
        <is>
          <t>0,12</t>
        </is>
      </c>
      <c r="D257" s="7" t="inlineStr">
        <is>
          <t>300–399</t>
        </is>
      </c>
      <c r="E257" s="7" t="n">
        <v>300</v>
      </c>
      <c r="F257" s="8" t="n">
        <v>0.24624</v>
      </c>
      <c r="G257" s="8" t="n">
        <v>0</v>
      </c>
      <c r="H257" s="8" t="n">
        <v>0.24624</v>
      </c>
      <c r="I257" s="9" t="inlineStr">
        <is>
          <t>Marfel (unico)</t>
        </is>
      </c>
      <c r="J257" s="8" t="n">
        <v>0.3</v>
      </c>
      <c r="K257" s="10">
        <f>H257+J257</f>
        <v/>
      </c>
      <c r="L257" s="11" t="n">
        <v>0.7</v>
      </c>
      <c r="M257" s="10">
        <f>K257*(1+L257)</f>
        <v/>
      </c>
      <c r="N257" s="7" t="inlineStr">
        <is>
          <t>NOVO (Tabela Marfel V01JUN26)</t>
        </is>
      </c>
      <c r="O257" s="12" t="inlineStr">
        <is>
          <t>Sem custo cadastrado da Alquimia para esta gramatura — usado apenas o valor da Marfel.</t>
        </is>
      </c>
    </row>
    <row r="258">
      <c r="A258" s="6" t="inlineStr">
        <is>
          <t>Alça Vazada</t>
        </is>
      </c>
      <c r="B258" s="7" t="inlineStr">
        <is>
          <t>20x30</t>
        </is>
      </c>
      <c r="C258" s="7" t="inlineStr">
        <is>
          <t>0,12</t>
        </is>
      </c>
      <c r="D258" s="7" t="inlineStr">
        <is>
          <t>400–499</t>
        </is>
      </c>
      <c r="E258" s="7" t="n">
        <v>400</v>
      </c>
      <c r="F258" s="8" t="n">
        <v>0.24624</v>
      </c>
      <c r="G258" s="8" t="n">
        <v>0</v>
      </c>
      <c r="H258" s="8" t="n">
        <v>0.24624</v>
      </c>
      <c r="I258" s="9" t="inlineStr">
        <is>
          <t>Marfel (unico)</t>
        </is>
      </c>
      <c r="J258" s="8" t="n">
        <v>0.3</v>
      </c>
      <c r="K258" s="10">
        <f>H258+J258</f>
        <v/>
      </c>
      <c r="L258" s="11" t="n">
        <v>0.65</v>
      </c>
      <c r="M258" s="10">
        <f>K258*(1+L258)</f>
        <v/>
      </c>
      <c r="N258" s="7" t="inlineStr">
        <is>
          <t>NOVO (Tabela Marfel V01JUN26)</t>
        </is>
      </c>
      <c r="O258" s="12" t="inlineStr">
        <is>
          <t>Sem custo cadastrado da Alquimia para esta gramatura — usado apenas o valor da Marfel.</t>
        </is>
      </c>
    </row>
    <row r="259">
      <c r="A259" s="6" t="inlineStr">
        <is>
          <t>Alça Vazada</t>
        </is>
      </c>
      <c r="B259" s="7" t="inlineStr">
        <is>
          <t>20x30</t>
        </is>
      </c>
      <c r="C259" s="7" t="inlineStr">
        <is>
          <t>0,12</t>
        </is>
      </c>
      <c r="D259" s="7" t="inlineStr">
        <is>
          <t>500–599</t>
        </is>
      </c>
      <c r="E259" s="7" t="n">
        <v>500</v>
      </c>
      <c r="F259" s="8" t="n">
        <v>0.24624</v>
      </c>
      <c r="G259" s="8" t="n">
        <v>0</v>
      </c>
      <c r="H259" s="8" t="n">
        <v>0.24624</v>
      </c>
      <c r="I259" s="9" t="inlineStr">
        <is>
          <t>Marfel (unico)</t>
        </is>
      </c>
      <c r="J259" s="8" t="n">
        <v>0.3</v>
      </c>
      <c r="K259" s="10">
        <f>H259+J259</f>
        <v/>
      </c>
      <c r="L259" s="11" t="n">
        <v>0.6</v>
      </c>
      <c r="M259" s="10">
        <f>K259*(1+L259)</f>
        <v/>
      </c>
      <c r="N259" s="7" t="inlineStr">
        <is>
          <t>NOVO (Tabela Marfel V01JUN26)</t>
        </is>
      </c>
      <c r="O259" s="12" t="inlineStr">
        <is>
          <t>Sem custo cadastrado da Alquimia para esta gramatura — usado apenas o valor da Marfel.</t>
        </is>
      </c>
    </row>
    <row r="260">
      <c r="A260" s="6" t="inlineStr">
        <is>
          <t>Alça Vazada</t>
        </is>
      </c>
      <c r="B260" s="7" t="inlineStr">
        <is>
          <t>20x30</t>
        </is>
      </c>
      <c r="C260" s="7" t="inlineStr">
        <is>
          <t>0,12</t>
        </is>
      </c>
      <c r="D260" s="7" t="inlineStr">
        <is>
          <t>600–699</t>
        </is>
      </c>
      <c r="E260" s="7" t="n">
        <v>600</v>
      </c>
      <c r="F260" s="8" t="n">
        <v>0.24624</v>
      </c>
      <c r="G260" s="8" t="n">
        <v>0</v>
      </c>
      <c r="H260" s="8" t="n">
        <v>0.24624</v>
      </c>
      <c r="I260" s="9" t="inlineStr">
        <is>
          <t>Marfel (unico)</t>
        </is>
      </c>
      <c r="J260" s="8" t="n">
        <v>0.3</v>
      </c>
      <c r="K260" s="10">
        <f>H260+J260</f>
        <v/>
      </c>
      <c r="L260" s="11" t="n">
        <v>0.57</v>
      </c>
      <c r="M260" s="10">
        <f>K260*(1+L260)</f>
        <v/>
      </c>
      <c r="N260" s="7" t="inlineStr">
        <is>
          <t>NOVO (Tabela Marfel V01JUN26)</t>
        </is>
      </c>
      <c r="O260" s="12" t="inlineStr">
        <is>
          <t>Sem custo cadastrado da Alquimia para esta gramatura — usado apenas o valor da Marfel.</t>
        </is>
      </c>
    </row>
    <row r="261">
      <c r="A261" s="6" t="inlineStr">
        <is>
          <t>Alça Vazada</t>
        </is>
      </c>
      <c r="B261" s="7" t="inlineStr">
        <is>
          <t>20x30</t>
        </is>
      </c>
      <c r="C261" s="7" t="inlineStr">
        <is>
          <t>0,12</t>
        </is>
      </c>
      <c r="D261" s="7" t="inlineStr">
        <is>
          <t>700–799</t>
        </is>
      </c>
      <c r="E261" s="7" t="n">
        <v>700</v>
      </c>
      <c r="F261" s="8" t="n">
        <v>0.24624</v>
      </c>
      <c r="G261" s="8" t="n">
        <v>0</v>
      </c>
      <c r="H261" s="8" t="n">
        <v>0.24624</v>
      </c>
      <c r="I261" s="9" t="inlineStr">
        <is>
          <t>Marfel (unico)</t>
        </is>
      </c>
      <c r="J261" s="8" t="n">
        <v>0.3</v>
      </c>
      <c r="K261" s="10">
        <f>H261+J261</f>
        <v/>
      </c>
      <c r="L261" s="11" t="n">
        <v>0.54</v>
      </c>
      <c r="M261" s="10">
        <f>K261*(1+L261)</f>
        <v/>
      </c>
      <c r="N261" s="7" t="inlineStr">
        <is>
          <t>NOVO (Tabela Marfel V01JUN26)</t>
        </is>
      </c>
      <c r="O261" s="12" t="inlineStr">
        <is>
          <t>Sem custo cadastrado da Alquimia para esta gramatura — usado apenas o valor da Marfel.</t>
        </is>
      </c>
    </row>
    <row r="262">
      <c r="A262" s="6" t="inlineStr">
        <is>
          <t>Alça Vazada</t>
        </is>
      </c>
      <c r="B262" s="7" t="inlineStr">
        <is>
          <t>20x30</t>
        </is>
      </c>
      <c r="C262" s="7" t="inlineStr">
        <is>
          <t>0,12</t>
        </is>
      </c>
      <c r="D262" s="7" t="inlineStr">
        <is>
          <t>800–899</t>
        </is>
      </c>
      <c r="E262" s="7" t="n">
        <v>800</v>
      </c>
      <c r="F262" s="8" t="n">
        <v>0.24624</v>
      </c>
      <c r="G262" s="8" t="n">
        <v>0</v>
      </c>
      <c r="H262" s="8" t="n">
        <v>0.24624</v>
      </c>
      <c r="I262" s="9" t="inlineStr">
        <is>
          <t>Marfel (unico)</t>
        </is>
      </c>
      <c r="J262" s="8" t="n">
        <v>0.3</v>
      </c>
      <c r="K262" s="10">
        <f>H262+J262</f>
        <v/>
      </c>
      <c r="L262" s="11" t="n">
        <v>0.51</v>
      </c>
      <c r="M262" s="10">
        <f>K262*(1+L262)</f>
        <v/>
      </c>
      <c r="N262" s="7" t="inlineStr">
        <is>
          <t>NOVO (Tabela Marfel V01JUN26)</t>
        </is>
      </c>
      <c r="O262" s="12" t="inlineStr">
        <is>
          <t>Sem custo cadastrado da Alquimia para esta gramatura — usado apenas o valor da Marfel.</t>
        </is>
      </c>
    </row>
    <row r="263">
      <c r="A263" s="6" t="inlineStr">
        <is>
          <t>Alça Vazada</t>
        </is>
      </c>
      <c r="B263" s="7" t="inlineStr">
        <is>
          <t>20x30</t>
        </is>
      </c>
      <c r="C263" s="7" t="inlineStr">
        <is>
          <t>0,12</t>
        </is>
      </c>
      <c r="D263" s="7" t="inlineStr">
        <is>
          <t>900–999</t>
        </is>
      </c>
      <c r="E263" s="7" t="n">
        <v>900</v>
      </c>
      <c r="F263" s="8" t="n">
        <v>0.24624</v>
      </c>
      <c r="G263" s="8" t="n">
        <v>0</v>
      </c>
      <c r="H263" s="8" t="n">
        <v>0.24624</v>
      </c>
      <c r="I263" s="9" t="inlineStr">
        <is>
          <t>Marfel (unico)</t>
        </is>
      </c>
      <c r="J263" s="8" t="n">
        <v>0.3</v>
      </c>
      <c r="K263" s="10">
        <f>H263+J263</f>
        <v/>
      </c>
      <c r="L263" s="11" t="n">
        <v>0.48</v>
      </c>
      <c r="M263" s="10">
        <f>K263*(1+L263)</f>
        <v/>
      </c>
      <c r="N263" s="7" t="inlineStr">
        <is>
          <t>NOVO (Tabela Marfel V01JUN26)</t>
        </is>
      </c>
      <c r="O263" s="12" t="inlineStr">
        <is>
          <t>Sem custo cadastrado da Alquimia para esta gramatura — usado apenas o valor da Marfel.</t>
        </is>
      </c>
    </row>
    <row r="264">
      <c r="A264" s="6" t="inlineStr">
        <is>
          <t>Alça Vazada</t>
        </is>
      </c>
      <c r="B264" s="7" t="inlineStr">
        <is>
          <t>20x30</t>
        </is>
      </c>
      <c r="C264" s="7" t="inlineStr">
        <is>
          <t>0,12</t>
        </is>
      </c>
      <c r="D264" s="7" t="inlineStr">
        <is>
          <t>1000+</t>
        </is>
      </c>
      <c r="E264" s="7" t="n">
        <v>1000</v>
      </c>
      <c r="F264" s="8" t="n">
        <v>0.24624</v>
      </c>
      <c r="G264" s="8" t="n">
        <v>0</v>
      </c>
      <c r="H264" s="8" t="n">
        <v>0.24624</v>
      </c>
      <c r="I264" s="9" t="inlineStr">
        <is>
          <t>Marfel (unico)</t>
        </is>
      </c>
      <c r="J264" s="8" t="n">
        <v>0.3</v>
      </c>
      <c r="K264" s="10">
        <f>H264+J264</f>
        <v/>
      </c>
      <c r="L264" s="11" t="n">
        <v>0.4</v>
      </c>
      <c r="M264" s="10">
        <f>K264*(1+L264)</f>
        <v/>
      </c>
      <c r="N264" s="7" t="inlineStr">
        <is>
          <t>NOVO (Tabela Marfel V01JUN26)</t>
        </is>
      </c>
      <c r="O264" s="12" t="inlineStr">
        <is>
          <t>Sem custo cadastrado da Alquimia para esta gramatura — usado apenas o valor da Marfel.</t>
        </is>
      </c>
    </row>
    <row r="265">
      <c r="A265" s="6" t="inlineStr">
        <is>
          <t>Alça Vazada</t>
        </is>
      </c>
      <c r="B265" s="7" t="inlineStr">
        <is>
          <t>25x35</t>
        </is>
      </c>
      <c r="C265" s="7" t="inlineStr">
        <is>
          <t>0,06</t>
        </is>
      </c>
      <c r="D265" s="7" t="inlineStr">
        <is>
          <t>100–199</t>
        </is>
      </c>
      <c r="E265" s="7" t="n">
        <v>100</v>
      </c>
      <c r="F265" s="8" t="n">
        <v>0.2394</v>
      </c>
      <c r="G265" s="8" t="n">
        <v>0</v>
      </c>
      <c r="H265" s="8" t="n">
        <v>0.2394</v>
      </c>
      <c r="I265" s="9" t="inlineStr">
        <is>
          <t>Marfel (unico)</t>
        </is>
      </c>
      <c r="J265" s="8" t="n">
        <v>0.3</v>
      </c>
      <c r="K265" s="10">
        <f>H265+J265</f>
        <v/>
      </c>
      <c r="L265" s="11" t="n">
        <v>1</v>
      </c>
      <c r="M265" s="10">
        <f>K265*(1+L265)</f>
        <v/>
      </c>
      <c r="N265" s="7" t="inlineStr">
        <is>
          <t>NOVO (Tabela Marfel V01JUN26)</t>
        </is>
      </c>
      <c r="O265" s="12" t="inlineStr">
        <is>
          <t>Sem custo cadastrado da Alquimia para esta gramatura — usado apenas o valor da Marfel.</t>
        </is>
      </c>
    </row>
    <row r="266">
      <c r="A266" s="6" t="inlineStr">
        <is>
          <t>Alça Vazada</t>
        </is>
      </c>
      <c r="B266" s="7" t="inlineStr">
        <is>
          <t>25x35</t>
        </is>
      </c>
      <c r="C266" s="7" t="inlineStr">
        <is>
          <t>0,06</t>
        </is>
      </c>
      <c r="D266" s="7" t="inlineStr">
        <is>
          <t>200–299</t>
        </is>
      </c>
      <c r="E266" s="7" t="n">
        <v>200</v>
      </c>
      <c r="F266" s="8" t="n">
        <v>0.2394</v>
      </c>
      <c r="G266" s="8" t="n">
        <v>0</v>
      </c>
      <c r="H266" s="8" t="n">
        <v>0.2394</v>
      </c>
      <c r="I266" s="9" t="inlineStr">
        <is>
          <t>Marfel (unico)</t>
        </is>
      </c>
      <c r="J266" s="8" t="n">
        <v>0.3</v>
      </c>
      <c r="K266" s="10">
        <f>H266+J266</f>
        <v/>
      </c>
      <c r="L266" s="11" t="n">
        <v>0.75</v>
      </c>
      <c r="M266" s="10">
        <f>K266*(1+L266)</f>
        <v/>
      </c>
      <c r="N266" s="7" t="inlineStr">
        <is>
          <t>NOVO (Tabela Marfel V01JUN26)</t>
        </is>
      </c>
      <c r="O266" s="12" t="inlineStr">
        <is>
          <t>Sem custo cadastrado da Alquimia para esta gramatura — usado apenas o valor da Marfel.</t>
        </is>
      </c>
    </row>
    <row r="267">
      <c r="A267" s="6" t="inlineStr">
        <is>
          <t>Alça Vazada</t>
        </is>
      </c>
      <c r="B267" s="7" t="inlineStr">
        <is>
          <t>25x35</t>
        </is>
      </c>
      <c r="C267" s="7" t="inlineStr">
        <is>
          <t>0,06</t>
        </is>
      </c>
      <c r="D267" s="7" t="inlineStr">
        <is>
          <t>300–399</t>
        </is>
      </c>
      <c r="E267" s="7" t="n">
        <v>300</v>
      </c>
      <c r="F267" s="8" t="n">
        <v>0.2394</v>
      </c>
      <c r="G267" s="8" t="n">
        <v>0</v>
      </c>
      <c r="H267" s="8" t="n">
        <v>0.2394</v>
      </c>
      <c r="I267" s="9" t="inlineStr">
        <is>
          <t>Marfel (unico)</t>
        </is>
      </c>
      <c r="J267" s="8" t="n">
        <v>0.3</v>
      </c>
      <c r="K267" s="10">
        <f>H267+J267</f>
        <v/>
      </c>
      <c r="L267" s="11" t="n">
        <v>0.7</v>
      </c>
      <c r="M267" s="10">
        <f>K267*(1+L267)</f>
        <v/>
      </c>
      <c r="N267" s="7" t="inlineStr">
        <is>
          <t>NOVO (Tabela Marfel V01JUN26)</t>
        </is>
      </c>
      <c r="O267" s="12" t="inlineStr">
        <is>
          <t>Sem custo cadastrado da Alquimia para esta gramatura — usado apenas o valor da Marfel.</t>
        </is>
      </c>
    </row>
    <row r="268">
      <c r="A268" s="6" t="inlineStr">
        <is>
          <t>Alça Vazada</t>
        </is>
      </c>
      <c r="B268" s="7" t="inlineStr">
        <is>
          <t>25x35</t>
        </is>
      </c>
      <c r="C268" s="7" t="inlineStr">
        <is>
          <t>0,06</t>
        </is>
      </c>
      <c r="D268" s="7" t="inlineStr">
        <is>
          <t>400–499</t>
        </is>
      </c>
      <c r="E268" s="7" t="n">
        <v>400</v>
      </c>
      <c r="F268" s="8" t="n">
        <v>0.2394</v>
      </c>
      <c r="G268" s="8" t="n">
        <v>0</v>
      </c>
      <c r="H268" s="8" t="n">
        <v>0.2394</v>
      </c>
      <c r="I268" s="9" t="inlineStr">
        <is>
          <t>Marfel (unico)</t>
        </is>
      </c>
      <c r="J268" s="8" t="n">
        <v>0.3</v>
      </c>
      <c r="K268" s="10">
        <f>H268+J268</f>
        <v/>
      </c>
      <c r="L268" s="11" t="n">
        <v>0.65</v>
      </c>
      <c r="M268" s="10">
        <f>K268*(1+L268)</f>
        <v/>
      </c>
      <c r="N268" s="7" t="inlineStr">
        <is>
          <t>NOVO (Tabela Marfel V01JUN26)</t>
        </is>
      </c>
      <c r="O268" s="12" t="inlineStr">
        <is>
          <t>Sem custo cadastrado da Alquimia para esta gramatura — usado apenas o valor da Marfel.</t>
        </is>
      </c>
    </row>
    <row r="269">
      <c r="A269" s="6" t="inlineStr">
        <is>
          <t>Alça Vazada</t>
        </is>
      </c>
      <c r="B269" s="7" t="inlineStr">
        <is>
          <t>25x35</t>
        </is>
      </c>
      <c r="C269" s="7" t="inlineStr">
        <is>
          <t>0,06</t>
        </is>
      </c>
      <c r="D269" s="7" t="inlineStr">
        <is>
          <t>500–599</t>
        </is>
      </c>
      <c r="E269" s="7" t="n">
        <v>500</v>
      </c>
      <c r="F269" s="8" t="n">
        <v>0.2394</v>
      </c>
      <c r="G269" s="8" t="n">
        <v>0</v>
      </c>
      <c r="H269" s="8" t="n">
        <v>0.2394</v>
      </c>
      <c r="I269" s="9" t="inlineStr">
        <is>
          <t>Marfel (unico)</t>
        </is>
      </c>
      <c r="J269" s="8" t="n">
        <v>0.3</v>
      </c>
      <c r="K269" s="10">
        <f>H269+J269</f>
        <v/>
      </c>
      <c r="L269" s="11" t="n">
        <v>0.6</v>
      </c>
      <c r="M269" s="10">
        <f>K269*(1+L269)</f>
        <v/>
      </c>
      <c r="N269" s="7" t="inlineStr">
        <is>
          <t>NOVO (Tabela Marfel V01JUN26)</t>
        </is>
      </c>
      <c r="O269" s="12" t="inlineStr">
        <is>
          <t>Sem custo cadastrado da Alquimia para esta gramatura — usado apenas o valor da Marfel.</t>
        </is>
      </c>
    </row>
    <row r="270">
      <c r="A270" s="6" t="inlineStr">
        <is>
          <t>Alça Vazada</t>
        </is>
      </c>
      <c r="B270" s="7" t="inlineStr">
        <is>
          <t>25x35</t>
        </is>
      </c>
      <c r="C270" s="7" t="inlineStr">
        <is>
          <t>0,06</t>
        </is>
      </c>
      <c r="D270" s="7" t="inlineStr">
        <is>
          <t>600–699</t>
        </is>
      </c>
      <c r="E270" s="7" t="n">
        <v>600</v>
      </c>
      <c r="F270" s="8" t="n">
        <v>0.2394</v>
      </c>
      <c r="G270" s="8" t="n">
        <v>0</v>
      </c>
      <c r="H270" s="8" t="n">
        <v>0.2394</v>
      </c>
      <c r="I270" s="9" t="inlineStr">
        <is>
          <t>Marfel (unico)</t>
        </is>
      </c>
      <c r="J270" s="8" t="n">
        <v>0.3</v>
      </c>
      <c r="K270" s="10">
        <f>H270+J270</f>
        <v/>
      </c>
      <c r="L270" s="11" t="n">
        <v>0.57</v>
      </c>
      <c r="M270" s="10">
        <f>K270*(1+L270)</f>
        <v/>
      </c>
      <c r="N270" s="7" t="inlineStr">
        <is>
          <t>NOVO (Tabela Marfel V01JUN26)</t>
        </is>
      </c>
      <c r="O270" s="12" t="inlineStr">
        <is>
          <t>Sem custo cadastrado da Alquimia para esta gramatura — usado apenas o valor da Marfel.</t>
        </is>
      </c>
    </row>
    <row r="271">
      <c r="A271" s="6" t="inlineStr">
        <is>
          <t>Alça Vazada</t>
        </is>
      </c>
      <c r="B271" s="7" t="inlineStr">
        <is>
          <t>25x35</t>
        </is>
      </c>
      <c r="C271" s="7" t="inlineStr">
        <is>
          <t>0,06</t>
        </is>
      </c>
      <c r="D271" s="7" t="inlineStr">
        <is>
          <t>700–799</t>
        </is>
      </c>
      <c r="E271" s="7" t="n">
        <v>700</v>
      </c>
      <c r="F271" s="8" t="n">
        <v>0.2394</v>
      </c>
      <c r="G271" s="8" t="n">
        <v>0</v>
      </c>
      <c r="H271" s="8" t="n">
        <v>0.2394</v>
      </c>
      <c r="I271" s="9" t="inlineStr">
        <is>
          <t>Marfel (unico)</t>
        </is>
      </c>
      <c r="J271" s="8" t="n">
        <v>0.3</v>
      </c>
      <c r="K271" s="10">
        <f>H271+J271</f>
        <v/>
      </c>
      <c r="L271" s="11" t="n">
        <v>0.54</v>
      </c>
      <c r="M271" s="10">
        <f>K271*(1+L271)</f>
        <v/>
      </c>
      <c r="N271" s="7" t="inlineStr">
        <is>
          <t>NOVO (Tabela Marfel V01JUN26)</t>
        </is>
      </c>
      <c r="O271" s="12" t="inlineStr">
        <is>
          <t>Sem custo cadastrado da Alquimia para esta gramatura — usado apenas o valor da Marfel.</t>
        </is>
      </c>
    </row>
    <row r="272">
      <c r="A272" s="6" t="inlineStr">
        <is>
          <t>Alça Vazada</t>
        </is>
      </c>
      <c r="B272" s="7" t="inlineStr">
        <is>
          <t>25x35</t>
        </is>
      </c>
      <c r="C272" s="7" t="inlineStr">
        <is>
          <t>0,06</t>
        </is>
      </c>
      <c r="D272" s="7" t="inlineStr">
        <is>
          <t>800–899</t>
        </is>
      </c>
      <c r="E272" s="7" t="n">
        <v>800</v>
      </c>
      <c r="F272" s="8" t="n">
        <v>0.2394</v>
      </c>
      <c r="G272" s="8" t="n">
        <v>0</v>
      </c>
      <c r="H272" s="8" t="n">
        <v>0.2394</v>
      </c>
      <c r="I272" s="9" t="inlineStr">
        <is>
          <t>Marfel (unico)</t>
        </is>
      </c>
      <c r="J272" s="8" t="n">
        <v>0.3</v>
      </c>
      <c r="K272" s="10">
        <f>H272+J272</f>
        <v/>
      </c>
      <c r="L272" s="11" t="n">
        <v>0.51</v>
      </c>
      <c r="M272" s="10">
        <f>K272*(1+L272)</f>
        <v/>
      </c>
      <c r="N272" s="7" t="inlineStr">
        <is>
          <t>NOVO (Tabela Marfel V01JUN26)</t>
        </is>
      </c>
      <c r="O272" s="12" t="inlineStr">
        <is>
          <t>Sem custo cadastrado da Alquimia para esta gramatura — usado apenas o valor da Marfel.</t>
        </is>
      </c>
    </row>
    <row r="273">
      <c r="A273" s="6" t="inlineStr">
        <is>
          <t>Alça Vazada</t>
        </is>
      </c>
      <c r="B273" s="7" t="inlineStr">
        <is>
          <t>25x35</t>
        </is>
      </c>
      <c r="C273" s="7" t="inlineStr">
        <is>
          <t>0,06</t>
        </is>
      </c>
      <c r="D273" s="7" t="inlineStr">
        <is>
          <t>900–999</t>
        </is>
      </c>
      <c r="E273" s="7" t="n">
        <v>900</v>
      </c>
      <c r="F273" s="8" t="n">
        <v>0.2394</v>
      </c>
      <c r="G273" s="8" t="n">
        <v>0</v>
      </c>
      <c r="H273" s="8" t="n">
        <v>0.2394</v>
      </c>
      <c r="I273" s="9" t="inlineStr">
        <is>
          <t>Marfel (unico)</t>
        </is>
      </c>
      <c r="J273" s="8" t="n">
        <v>0.3</v>
      </c>
      <c r="K273" s="10">
        <f>H273+J273</f>
        <v/>
      </c>
      <c r="L273" s="11" t="n">
        <v>0.48</v>
      </c>
      <c r="M273" s="10">
        <f>K273*(1+L273)</f>
        <v/>
      </c>
      <c r="N273" s="7" t="inlineStr">
        <is>
          <t>NOVO (Tabela Marfel V01JUN26)</t>
        </is>
      </c>
      <c r="O273" s="12" t="inlineStr">
        <is>
          <t>Sem custo cadastrado da Alquimia para esta gramatura — usado apenas o valor da Marfel.</t>
        </is>
      </c>
    </row>
    <row r="274">
      <c r="A274" s="6" t="inlineStr">
        <is>
          <t>Alça Vazada</t>
        </is>
      </c>
      <c r="B274" s="7" t="inlineStr">
        <is>
          <t>25x35</t>
        </is>
      </c>
      <c r="C274" s="7" t="inlineStr">
        <is>
          <t>0,06</t>
        </is>
      </c>
      <c r="D274" s="7" t="inlineStr">
        <is>
          <t>1000+</t>
        </is>
      </c>
      <c r="E274" s="7" t="n">
        <v>1000</v>
      </c>
      <c r="F274" s="8" t="n">
        <v>0.2394</v>
      </c>
      <c r="G274" s="8" t="n">
        <v>0</v>
      </c>
      <c r="H274" s="8" t="n">
        <v>0.2394</v>
      </c>
      <c r="I274" s="9" t="inlineStr">
        <is>
          <t>Marfel (unico)</t>
        </is>
      </c>
      <c r="J274" s="8" t="n">
        <v>0.3</v>
      </c>
      <c r="K274" s="10">
        <f>H274+J274</f>
        <v/>
      </c>
      <c r="L274" s="11" t="n">
        <v>0.4</v>
      </c>
      <c r="M274" s="10">
        <f>K274*(1+L274)</f>
        <v/>
      </c>
      <c r="N274" s="7" t="inlineStr">
        <is>
          <t>NOVO (Tabela Marfel V01JUN26)</t>
        </is>
      </c>
      <c r="O274" s="12" t="inlineStr">
        <is>
          <t>Sem custo cadastrado da Alquimia para esta gramatura — usado apenas o valor da Marfel.</t>
        </is>
      </c>
    </row>
    <row r="275">
      <c r="A275" s="13" t="inlineStr">
        <is>
          <t>Alça Vazada</t>
        </is>
      </c>
      <c r="B275" s="14" t="inlineStr">
        <is>
          <t>25x35</t>
        </is>
      </c>
      <c r="C275" s="14" t="inlineStr">
        <is>
          <t>0,08</t>
        </is>
      </c>
      <c r="D275" s="14" t="inlineStr">
        <is>
          <t>100–199</t>
        </is>
      </c>
      <c r="E275" s="14" t="n">
        <v>100</v>
      </c>
      <c r="F275" s="15" t="n">
        <v>0.2394</v>
      </c>
      <c r="G275" s="15" t="n">
        <v>0.1855</v>
      </c>
      <c r="H275" s="15" t="n">
        <v>0.2394</v>
      </c>
      <c r="I275" s="16" t="inlineStr">
        <is>
          <t>Marfel</t>
        </is>
      </c>
      <c r="J275" s="15" t="n">
        <v>0.3</v>
      </c>
      <c r="K275" s="17">
        <f>H275+J275</f>
        <v/>
      </c>
      <c r="L275" s="18" t="n">
        <v>1</v>
      </c>
      <c r="M275" s="17">
        <f>K275*(1+L275)</f>
        <v/>
      </c>
      <c r="N275" s="14" t="inlineStr">
        <is>
          <t>já existia</t>
        </is>
      </c>
      <c r="O275" s="19" t="inlineStr"/>
    </row>
    <row r="276">
      <c r="A276" s="13" t="inlineStr">
        <is>
          <t>Alça Vazada</t>
        </is>
      </c>
      <c r="B276" s="14" t="inlineStr">
        <is>
          <t>25x35</t>
        </is>
      </c>
      <c r="C276" s="14" t="inlineStr">
        <is>
          <t>0,08</t>
        </is>
      </c>
      <c r="D276" s="14" t="inlineStr">
        <is>
          <t>200–299</t>
        </is>
      </c>
      <c r="E276" s="14" t="n">
        <v>200</v>
      </c>
      <c r="F276" s="15" t="n">
        <v>0.2394</v>
      </c>
      <c r="G276" s="15" t="n">
        <v>0.1855</v>
      </c>
      <c r="H276" s="15" t="n">
        <v>0.2394</v>
      </c>
      <c r="I276" s="16" t="inlineStr">
        <is>
          <t>Marfel</t>
        </is>
      </c>
      <c r="J276" s="15" t="n">
        <v>0.3</v>
      </c>
      <c r="K276" s="17">
        <f>H276+J276</f>
        <v/>
      </c>
      <c r="L276" s="18" t="n">
        <v>0.75</v>
      </c>
      <c r="M276" s="17">
        <f>K276*(1+L276)</f>
        <v/>
      </c>
      <c r="N276" s="14" t="inlineStr">
        <is>
          <t>já existia</t>
        </is>
      </c>
      <c r="O276" s="19" t="inlineStr"/>
    </row>
    <row r="277">
      <c r="A277" s="13" t="inlineStr">
        <is>
          <t>Alça Vazada</t>
        </is>
      </c>
      <c r="B277" s="14" t="inlineStr">
        <is>
          <t>25x35</t>
        </is>
      </c>
      <c r="C277" s="14" t="inlineStr">
        <is>
          <t>0,08</t>
        </is>
      </c>
      <c r="D277" s="14" t="inlineStr">
        <is>
          <t>300–399</t>
        </is>
      </c>
      <c r="E277" s="14" t="n">
        <v>300</v>
      </c>
      <c r="F277" s="15" t="n">
        <v>0.2394</v>
      </c>
      <c r="G277" s="15" t="n">
        <v>0.1855</v>
      </c>
      <c r="H277" s="15" t="n">
        <v>0.2394</v>
      </c>
      <c r="I277" s="16" t="inlineStr">
        <is>
          <t>Marfel</t>
        </is>
      </c>
      <c r="J277" s="15" t="n">
        <v>0.3</v>
      </c>
      <c r="K277" s="17">
        <f>H277+J277</f>
        <v/>
      </c>
      <c r="L277" s="18" t="n">
        <v>0.7</v>
      </c>
      <c r="M277" s="17">
        <f>K277*(1+L277)</f>
        <v/>
      </c>
      <c r="N277" s="14" t="inlineStr">
        <is>
          <t>já existia</t>
        </is>
      </c>
      <c r="O277" s="19" t="inlineStr"/>
    </row>
    <row r="278">
      <c r="A278" s="13" t="inlineStr">
        <is>
          <t>Alça Vazada</t>
        </is>
      </c>
      <c r="B278" s="14" t="inlineStr">
        <is>
          <t>25x35</t>
        </is>
      </c>
      <c r="C278" s="14" t="inlineStr">
        <is>
          <t>0,08</t>
        </is>
      </c>
      <c r="D278" s="14" t="inlineStr">
        <is>
          <t>400–499</t>
        </is>
      </c>
      <c r="E278" s="14" t="n">
        <v>400</v>
      </c>
      <c r="F278" s="15" t="n">
        <v>0.2394</v>
      </c>
      <c r="G278" s="15" t="n">
        <v>0.1855</v>
      </c>
      <c r="H278" s="15" t="n">
        <v>0.2394</v>
      </c>
      <c r="I278" s="16" t="inlineStr">
        <is>
          <t>Marfel</t>
        </is>
      </c>
      <c r="J278" s="15" t="n">
        <v>0.3</v>
      </c>
      <c r="K278" s="17">
        <f>H278+J278</f>
        <v/>
      </c>
      <c r="L278" s="18" t="n">
        <v>0.65</v>
      </c>
      <c r="M278" s="17">
        <f>K278*(1+L278)</f>
        <v/>
      </c>
      <c r="N278" s="14" t="inlineStr">
        <is>
          <t>já existia</t>
        </is>
      </c>
      <c r="O278" s="19" t="inlineStr"/>
    </row>
    <row r="279">
      <c r="A279" s="13" t="inlineStr">
        <is>
          <t>Alça Vazada</t>
        </is>
      </c>
      <c r="B279" s="14" t="inlineStr">
        <is>
          <t>25x35</t>
        </is>
      </c>
      <c r="C279" s="14" t="inlineStr">
        <is>
          <t>0,08</t>
        </is>
      </c>
      <c r="D279" s="14" t="inlineStr">
        <is>
          <t>500–599</t>
        </is>
      </c>
      <c r="E279" s="14" t="n">
        <v>500</v>
      </c>
      <c r="F279" s="15" t="n">
        <v>0.2394</v>
      </c>
      <c r="G279" s="15" t="n">
        <v>0.1855</v>
      </c>
      <c r="H279" s="15" t="n">
        <v>0.2394</v>
      </c>
      <c r="I279" s="16" t="inlineStr">
        <is>
          <t>Marfel</t>
        </is>
      </c>
      <c r="J279" s="15" t="n">
        <v>0.3</v>
      </c>
      <c r="K279" s="17">
        <f>H279+J279</f>
        <v/>
      </c>
      <c r="L279" s="18" t="n">
        <v>0.6</v>
      </c>
      <c r="M279" s="17">
        <f>K279*(1+L279)</f>
        <v/>
      </c>
      <c r="N279" s="14" t="inlineStr">
        <is>
          <t>já existia</t>
        </is>
      </c>
      <c r="O279" s="19" t="inlineStr"/>
    </row>
    <row r="280">
      <c r="A280" s="13" t="inlineStr">
        <is>
          <t>Alça Vazada</t>
        </is>
      </c>
      <c r="B280" s="14" t="inlineStr">
        <is>
          <t>25x35</t>
        </is>
      </c>
      <c r="C280" s="14" t="inlineStr">
        <is>
          <t>0,08</t>
        </is>
      </c>
      <c r="D280" s="14" t="inlineStr">
        <is>
          <t>600–699</t>
        </is>
      </c>
      <c r="E280" s="14" t="n">
        <v>600</v>
      </c>
      <c r="F280" s="15" t="n">
        <v>0.2394</v>
      </c>
      <c r="G280" s="15" t="n">
        <v>0.1855</v>
      </c>
      <c r="H280" s="15" t="n">
        <v>0.2394</v>
      </c>
      <c r="I280" s="16" t="inlineStr">
        <is>
          <t>Marfel</t>
        </is>
      </c>
      <c r="J280" s="15" t="n">
        <v>0.3</v>
      </c>
      <c r="K280" s="17">
        <f>H280+J280</f>
        <v/>
      </c>
      <c r="L280" s="18" t="n">
        <v>0.57</v>
      </c>
      <c r="M280" s="17">
        <f>K280*(1+L280)</f>
        <v/>
      </c>
      <c r="N280" s="14" t="inlineStr">
        <is>
          <t>já existia</t>
        </is>
      </c>
      <c r="O280" s="19" t="inlineStr"/>
    </row>
    <row r="281">
      <c r="A281" s="13" t="inlineStr">
        <is>
          <t>Alça Vazada</t>
        </is>
      </c>
      <c r="B281" s="14" t="inlineStr">
        <is>
          <t>25x35</t>
        </is>
      </c>
      <c r="C281" s="14" t="inlineStr">
        <is>
          <t>0,08</t>
        </is>
      </c>
      <c r="D281" s="14" t="inlineStr">
        <is>
          <t>700–799</t>
        </is>
      </c>
      <c r="E281" s="14" t="n">
        <v>700</v>
      </c>
      <c r="F281" s="15" t="n">
        <v>0.2394</v>
      </c>
      <c r="G281" s="15" t="n">
        <v>0.1855</v>
      </c>
      <c r="H281" s="15" t="n">
        <v>0.2394</v>
      </c>
      <c r="I281" s="16" t="inlineStr">
        <is>
          <t>Marfel</t>
        </is>
      </c>
      <c r="J281" s="15" t="n">
        <v>0.3</v>
      </c>
      <c r="K281" s="17">
        <f>H281+J281</f>
        <v/>
      </c>
      <c r="L281" s="18" t="n">
        <v>0.54</v>
      </c>
      <c r="M281" s="17">
        <f>K281*(1+L281)</f>
        <v/>
      </c>
      <c r="N281" s="14" t="inlineStr">
        <is>
          <t>já existia</t>
        </is>
      </c>
      <c r="O281" s="19" t="inlineStr"/>
    </row>
    <row r="282">
      <c r="A282" s="13" t="inlineStr">
        <is>
          <t>Alça Vazada</t>
        </is>
      </c>
      <c r="B282" s="14" t="inlineStr">
        <is>
          <t>25x35</t>
        </is>
      </c>
      <c r="C282" s="14" t="inlineStr">
        <is>
          <t>0,08</t>
        </is>
      </c>
      <c r="D282" s="14" t="inlineStr">
        <is>
          <t>800–899</t>
        </is>
      </c>
      <c r="E282" s="14" t="n">
        <v>800</v>
      </c>
      <c r="F282" s="15" t="n">
        <v>0.2394</v>
      </c>
      <c r="G282" s="15" t="n">
        <v>0.1855</v>
      </c>
      <c r="H282" s="15" t="n">
        <v>0.2394</v>
      </c>
      <c r="I282" s="16" t="inlineStr">
        <is>
          <t>Marfel</t>
        </is>
      </c>
      <c r="J282" s="15" t="n">
        <v>0.3</v>
      </c>
      <c r="K282" s="17">
        <f>H282+J282</f>
        <v/>
      </c>
      <c r="L282" s="18" t="n">
        <v>0.51</v>
      </c>
      <c r="M282" s="17">
        <f>K282*(1+L282)</f>
        <v/>
      </c>
      <c r="N282" s="14" t="inlineStr">
        <is>
          <t>já existia</t>
        </is>
      </c>
      <c r="O282" s="19" t="inlineStr"/>
    </row>
    <row r="283">
      <c r="A283" s="13" t="inlineStr">
        <is>
          <t>Alça Vazada</t>
        </is>
      </c>
      <c r="B283" s="14" t="inlineStr">
        <is>
          <t>25x35</t>
        </is>
      </c>
      <c r="C283" s="14" t="inlineStr">
        <is>
          <t>0,08</t>
        </is>
      </c>
      <c r="D283" s="14" t="inlineStr">
        <is>
          <t>900–999</t>
        </is>
      </c>
      <c r="E283" s="14" t="n">
        <v>900</v>
      </c>
      <c r="F283" s="15" t="n">
        <v>0.2394</v>
      </c>
      <c r="G283" s="15" t="n">
        <v>0.1855</v>
      </c>
      <c r="H283" s="15" t="n">
        <v>0.2394</v>
      </c>
      <c r="I283" s="16" t="inlineStr">
        <is>
          <t>Marfel</t>
        </is>
      </c>
      <c r="J283" s="15" t="n">
        <v>0.3</v>
      </c>
      <c r="K283" s="17">
        <f>H283+J283</f>
        <v/>
      </c>
      <c r="L283" s="18" t="n">
        <v>0.48</v>
      </c>
      <c r="M283" s="17">
        <f>K283*(1+L283)</f>
        <v/>
      </c>
      <c r="N283" s="14" t="inlineStr">
        <is>
          <t>já existia</t>
        </is>
      </c>
      <c r="O283" s="19" t="inlineStr"/>
    </row>
    <row r="284">
      <c r="A284" s="13" t="inlineStr">
        <is>
          <t>Alça Vazada</t>
        </is>
      </c>
      <c r="B284" s="14" t="inlineStr">
        <is>
          <t>25x35</t>
        </is>
      </c>
      <c r="C284" s="14" t="inlineStr">
        <is>
          <t>0,08</t>
        </is>
      </c>
      <c r="D284" s="14" t="inlineStr">
        <is>
          <t>1000+</t>
        </is>
      </c>
      <c r="E284" s="14" t="n">
        <v>1000</v>
      </c>
      <c r="F284" s="15" t="n">
        <v>0.2394</v>
      </c>
      <c r="G284" s="15" t="n">
        <v>0.1855</v>
      </c>
      <c r="H284" s="15" t="n">
        <v>0.2394</v>
      </c>
      <c r="I284" s="16" t="inlineStr">
        <is>
          <t>Marfel</t>
        </is>
      </c>
      <c r="J284" s="15" t="n">
        <v>0.3</v>
      </c>
      <c r="K284" s="17">
        <f>H284+J284</f>
        <v/>
      </c>
      <c r="L284" s="18" t="n">
        <v>0.4</v>
      </c>
      <c r="M284" s="17">
        <f>K284*(1+L284)</f>
        <v/>
      </c>
      <c r="N284" s="14" t="inlineStr">
        <is>
          <t>já existia</t>
        </is>
      </c>
      <c r="O284" s="19" t="inlineStr"/>
    </row>
    <row r="285">
      <c r="A285" s="6" t="inlineStr">
        <is>
          <t>Alça Vazada</t>
        </is>
      </c>
      <c r="B285" s="7" t="inlineStr">
        <is>
          <t>25x35</t>
        </is>
      </c>
      <c r="C285" s="7" t="inlineStr">
        <is>
          <t>0,12</t>
        </is>
      </c>
      <c r="D285" s="7" t="inlineStr">
        <is>
          <t>100–199</t>
        </is>
      </c>
      <c r="E285" s="7" t="n">
        <v>100</v>
      </c>
      <c r="F285" s="8" t="n">
        <v>0.3591</v>
      </c>
      <c r="G285" s="8" t="n">
        <v>0</v>
      </c>
      <c r="H285" s="8" t="n">
        <v>0.3591</v>
      </c>
      <c r="I285" s="9" t="inlineStr">
        <is>
          <t>Marfel (unico)</t>
        </is>
      </c>
      <c r="J285" s="8" t="n">
        <v>0.3</v>
      </c>
      <c r="K285" s="10">
        <f>H285+J285</f>
        <v/>
      </c>
      <c r="L285" s="11" t="n">
        <v>1</v>
      </c>
      <c r="M285" s="10">
        <f>K285*(1+L285)</f>
        <v/>
      </c>
      <c r="N285" s="7" t="inlineStr">
        <is>
          <t>NOVO (Tabela Marfel V01JUN26)</t>
        </is>
      </c>
      <c r="O285" s="12" t="inlineStr">
        <is>
          <t>Sem custo cadastrado da Alquimia para esta gramatura — usado apenas o valor da Marfel.</t>
        </is>
      </c>
    </row>
    <row r="286">
      <c r="A286" s="6" t="inlineStr">
        <is>
          <t>Alça Vazada</t>
        </is>
      </c>
      <c r="B286" s="7" t="inlineStr">
        <is>
          <t>25x35</t>
        </is>
      </c>
      <c r="C286" s="7" t="inlineStr">
        <is>
          <t>0,12</t>
        </is>
      </c>
      <c r="D286" s="7" t="inlineStr">
        <is>
          <t>200–299</t>
        </is>
      </c>
      <c r="E286" s="7" t="n">
        <v>200</v>
      </c>
      <c r="F286" s="8" t="n">
        <v>0.3591</v>
      </c>
      <c r="G286" s="8" t="n">
        <v>0</v>
      </c>
      <c r="H286" s="8" t="n">
        <v>0.3591</v>
      </c>
      <c r="I286" s="9" t="inlineStr">
        <is>
          <t>Marfel (unico)</t>
        </is>
      </c>
      <c r="J286" s="8" t="n">
        <v>0.3</v>
      </c>
      <c r="K286" s="10">
        <f>H286+J286</f>
        <v/>
      </c>
      <c r="L286" s="11" t="n">
        <v>0.75</v>
      </c>
      <c r="M286" s="10">
        <f>K286*(1+L286)</f>
        <v/>
      </c>
      <c r="N286" s="7" t="inlineStr">
        <is>
          <t>NOVO (Tabela Marfel V01JUN26)</t>
        </is>
      </c>
      <c r="O286" s="12" t="inlineStr">
        <is>
          <t>Sem custo cadastrado da Alquimia para esta gramatura — usado apenas o valor da Marfel.</t>
        </is>
      </c>
    </row>
    <row r="287">
      <c r="A287" s="6" t="inlineStr">
        <is>
          <t>Alça Vazada</t>
        </is>
      </c>
      <c r="B287" s="7" t="inlineStr">
        <is>
          <t>25x35</t>
        </is>
      </c>
      <c r="C287" s="7" t="inlineStr">
        <is>
          <t>0,12</t>
        </is>
      </c>
      <c r="D287" s="7" t="inlineStr">
        <is>
          <t>300–399</t>
        </is>
      </c>
      <c r="E287" s="7" t="n">
        <v>300</v>
      </c>
      <c r="F287" s="8" t="n">
        <v>0.3591</v>
      </c>
      <c r="G287" s="8" t="n">
        <v>0</v>
      </c>
      <c r="H287" s="8" t="n">
        <v>0.3591</v>
      </c>
      <c r="I287" s="9" t="inlineStr">
        <is>
          <t>Marfel (unico)</t>
        </is>
      </c>
      <c r="J287" s="8" t="n">
        <v>0.3</v>
      </c>
      <c r="K287" s="10">
        <f>H287+J287</f>
        <v/>
      </c>
      <c r="L287" s="11" t="n">
        <v>0.7</v>
      </c>
      <c r="M287" s="10">
        <f>K287*(1+L287)</f>
        <v/>
      </c>
      <c r="N287" s="7" t="inlineStr">
        <is>
          <t>NOVO (Tabela Marfel V01JUN26)</t>
        </is>
      </c>
      <c r="O287" s="12" t="inlineStr">
        <is>
          <t>Sem custo cadastrado da Alquimia para esta gramatura — usado apenas o valor da Marfel.</t>
        </is>
      </c>
    </row>
    <row r="288">
      <c r="A288" s="6" t="inlineStr">
        <is>
          <t>Alça Vazada</t>
        </is>
      </c>
      <c r="B288" s="7" t="inlineStr">
        <is>
          <t>25x35</t>
        </is>
      </c>
      <c r="C288" s="7" t="inlineStr">
        <is>
          <t>0,12</t>
        </is>
      </c>
      <c r="D288" s="7" t="inlineStr">
        <is>
          <t>400–499</t>
        </is>
      </c>
      <c r="E288" s="7" t="n">
        <v>400</v>
      </c>
      <c r="F288" s="8" t="n">
        <v>0.3591</v>
      </c>
      <c r="G288" s="8" t="n">
        <v>0</v>
      </c>
      <c r="H288" s="8" t="n">
        <v>0.3591</v>
      </c>
      <c r="I288" s="9" t="inlineStr">
        <is>
          <t>Marfel (unico)</t>
        </is>
      </c>
      <c r="J288" s="8" t="n">
        <v>0.3</v>
      </c>
      <c r="K288" s="10">
        <f>H288+J288</f>
        <v/>
      </c>
      <c r="L288" s="11" t="n">
        <v>0.65</v>
      </c>
      <c r="M288" s="10">
        <f>K288*(1+L288)</f>
        <v/>
      </c>
      <c r="N288" s="7" t="inlineStr">
        <is>
          <t>NOVO (Tabela Marfel V01JUN26)</t>
        </is>
      </c>
      <c r="O288" s="12" t="inlineStr">
        <is>
          <t>Sem custo cadastrado da Alquimia para esta gramatura — usado apenas o valor da Marfel.</t>
        </is>
      </c>
    </row>
    <row r="289">
      <c r="A289" s="6" t="inlineStr">
        <is>
          <t>Alça Vazada</t>
        </is>
      </c>
      <c r="B289" s="7" t="inlineStr">
        <is>
          <t>25x35</t>
        </is>
      </c>
      <c r="C289" s="7" t="inlineStr">
        <is>
          <t>0,12</t>
        </is>
      </c>
      <c r="D289" s="7" t="inlineStr">
        <is>
          <t>500–599</t>
        </is>
      </c>
      <c r="E289" s="7" t="n">
        <v>500</v>
      </c>
      <c r="F289" s="8" t="n">
        <v>0.3591</v>
      </c>
      <c r="G289" s="8" t="n">
        <v>0</v>
      </c>
      <c r="H289" s="8" t="n">
        <v>0.3591</v>
      </c>
      <c r="I289" s="9" t="inlineStr">
        <is>
          <t>Marfel (unico)</t>
        </is>
      </c>
      <c r="J289" s="8" t="n">
        <v>0.3</v>
      </c>
      <c r="K289" s="10">
        <f>H289+J289</f>
        <v/>
      </c>
      <c r="L289" s="11" t="n">
        <v>0.6</v>
      </c>
      <c r="M289" s="10">
        <f>K289*(1+L289)</f>
        <v/>
      </c>
      <c r="N289" s="7" t="inlineStr">
        <is>
          <t>NOVO (Tabela Marfel V01JUN26)</t>
        </is>
      </c>
      <c r="O289" s="12" t="inlineStr">
        <is>
          <t>Sem custo cadastrado da Alquimia para esta gramatura — usado apenas o valor da Marfel.</t>
        </is>
      </c>
    </row>
    <row r="290">
      <c r="A290" s="6" t="inlineStr">
        <is>
          <t>Alça Vazada</t>
        </is>
      </c>
      <c r="B290" s="7" t="inlineStr">
        <is>
          <t>25x35</t>
        </is>
      </c>
      <c r="C290" s="7" t="inlineStr">
        <is>
          <t>0,12</t>
        </is>
      </c>
      <c r="D290" s="7" t="inlineStr">
        <is>
          <t>600–699</t>
        </is>
      </c>
      <c r="E290" s="7" t="n">
        <v>600</v>
      </c>
      <c r="F290" s="8" t="n">
        <v>0.3591</v>
      </c>
      <c r="G290" s="8" t="n">
        <v>0</v>
      </c>
      <c r="H290" s="8" t="n">
        <v>0.3591</v>
      </c>
      <c r="I290" s="9" t="inlineStr">
        <is>
          <t>Marfel (unico)</t>
        </is>
      </c>
      <c r="J290" s="8" t="n">
        <v>0.3</v>
      </c>
      <c r="K290" s="10">
        <f>H290+J290</f>
        <v/>
      </c>
      <c r="L290" s="11" t="n">
        <v>0.57</v>
      </c>
      <c r="M290" s="10">
        <f>K290*(1+L290)</f>
        <v/>
      </c>
      <c r="N290" s="7" t="inlineStr">
        <is>
          <t>NOVO (Tabela Marfel V01JUN26)</t>
        </is>
      </c>
      <c r="O290" s="12" t="inlineStr">
        <is>
          <t>Sem custo cadastrado da Alquimia para esta gramatura — usado apenas o valor da Marfel.</t>
        </is>
      </c>
    </row>
    <row r="291">
      <c r="A291" s="6" t="inlineStr">
        <is>
          <t>Alça Vazada</t>
        </is>
      </c>
      <c r="B291" s="7" t="inlineStr">
        <is>
          <t>25x35</t>
        </is>
      </c>
      <c r="C291" s="7" t="inlineStr">
        <is>
          <t>0,12</t>
        </is>
      </c>
      <c r="D291" s="7" t="inlineStr">
        <is>
          <t>700–799</t>
        </is>
      </c>
      <c r="E291" s="7" t="n">
        <v>700</v>
      </c>
      <c r="F291" s="8" t="n">
        <v>0.3591</v>
      </c>
      <c r="G291" s="8" t="n">
        <v>0</v>
      </c>
      <c r="H291" s="8" t="n">
        <v>0.3591</v>
      </c>
      <c r="I291" s="9" t="inlineStr">
        <is>
          <t>Marfel (unico)</t>
        </is>
      </c>
      <c r="J291" s="8" t="n">
        <v>0.3</v>
      </c>
      <c r="K291" s="10">
        <f>H291+J291</f>
        <v/>
      </c>
      <c r="L291" s="11" t="n">
        <v>0.54</v>
      </c>
      <c r="M291" s="10">
        <f>K291*(1+L291)</f>
        <v/>
      </c>
      <c r="N291" s="7" t="inlineStr">
        <is>
          <t>NOVO (Tabela Marfel V01JUN26)</t>
        </is>
      </c>
      <c r="O291" s="12" t="inlineStr">
        <is>
          <t>Sem custo cadastrado da Alquimia para esta gramatura — usado apenas o valor da Marfel.</t>
        </is>
      </c>
    </row>
    <row r="292">
      <c r="A292" s="6" t="inlineStr">
        <is>
          <t>Alça Vazada</t>
        </is>
      </c>
      <c r="B292" s="7" t="inlineStr">
        <is>
          <t>25x35</t>
        </is>
      </c>
      <c r="C292" s="7" t="inlineStr">
        <is>
          <t>0,12</t>
        </is>
      </c>
      <c r="D292" s="7" t="inlineStr">
        <is>
          <t>800–899</t>
        </is>
      </c>
      <c r="E292" s="7" t="n">
        <v>800</v>
      </c>
      <c r="F292" s="8" t="n">
        <v>0.3591</v>
      </c>
      <c r="G292" s="8" t="n">
        <v>0</v>
      </c>
      <c r="H292" s="8" t="n">
        <v>0.3591</v>
      </c>
      <c r="I292" s="9" t="inlineStr">
        <is>
          <t>Marfel (unico)</t>
        </is>
      </c>
      <c r="J292" s="8" t="n">
        <v>0.3</v>
      </c>
      <c r="K292" s="10">
        <f>H292+J292</f>
        <v/>
      </c>
      <c r="L292" s="11" t="n">
        <v>0.51</v>
      </c>
      <c r="M292" s="10">
        <f>K292*(1+L292)</f>
        <v/>
      </c>
      <c r="N292" s="7" t="inlineStr">
        <is>
          <t>NOVO (Tabela Marfel V01JUN26)</t>
        </is>
      </c>
      <c r="O292" s="12" t="inlineStr">
        <is>
          <t>Sem custo cadastrado da Alquimia para esta gramatura — usado apenas o valor da Marfel.</t>
        </is>
      </c>
    </row>
    <row r="293">
      <c r="A293" s="6" t="inlineStr">
        <is>
          <t>Alça Vazada</t>
        </is>
      </c>
      <c r="B293" s="7" t="inlineStr">
        <is>
          <t>25x35</t>
        </is>
      </c>
      <c r="C293" s="7" t="inlineStr">
        <is>
          <t>0,12</t>
        </is>
      </c>
      <c r="D293" s="7" t="inlineStr">
        <is>
          <t>900–999</t>
        </is>
      </c>
      <c r="E293" s="7" t="n">
        <v>900</v>
      </c>
      <c r="F293" s="8" t="n">
        <v>0.3591</v>
      </c>
      <c r="G293" s="8" t="n">
        <v>0</v>
      </c>
      <c r="H293" s="8" t="n">
        <v>0.3591</v>
      </c>
      <c r="I293" s="9" t="inlineStr">
        <is>
          <t>Marfel (unico)</t>
        </is>
      </c>
      <c r="J293" s="8" t="n">
        <v>0.3</v>
      </c>
      <c r="K293" s="10">
        <f>H293+J293</f>
        <v/>
      </c>
      <c r="L293" s="11" t="n">
        <v>0.48</v>
      </c>
      <c r="M293" s="10">
        <f>K293*(1+L293)</f>
        <v/>
      </c>
      <c r="N293" s="7" t="inlineStr">
        <is>
          <t>NOVO (Tabela Marfel V01JUN26)</t>
        </is>
      </c>
      <c r="O293" s="12" t="inlineStr">
        <is>
          <t>Sem custo cadastrado da Alquimia para esta gramatura — usado apenas o valor da Marfel.</t>
        </is>
      </c>
    </row>
    <row r="294">
      <c r="A294" s="6" t="inlineStr">
        <is>
          <t>Alça Vazada</t>
        </is>
      </c>
      <c r="B294" s="7" t="inlineStr">
        <is>
          <t>25x35</t>
        </is>
      </c>
      <c r="C294" s="7" t="inlineStr">
        <is>
          <t>0,12</t>
        </is>
      </c>
      <c r="D294" s="7" t="inlineStr">
        <is>
          <t>1000+</t>
        </is>
      </c>
      <c r="E294" s="7" t="n">
        <v>1000</v>
      </c>
      <c r="F294" s="8" t="n">
        <v>0.3591</v>
      </c>
      <c r="G294" s="8" t="n">
        <v>0</v>
      </c>
      <c r="H294" s="8" t="n">
        <v>0.3591</v>
      </c>
      <c r="I294" s="9" t="inlineStr">
        <is>
          <t>Marfel (unico)</t>
        </is>
      </c>
      <c r="J294" s="8" t="n">
        <v>0.3</v>
      </c>
      <c r="K294" s="10">
        <f>H294+J294</f>
        <v/>
      </c>
      <c r="L294" s="11" t="n">
        <v>0.4</v>
      </c>
      <c r="M294" s="10">
        <f>K294*(1+L294)</f>
        <v/>
      </c>
      <c r="N294" s="7" t="inlineStr">
        <is>
          <t>NOVO (Tabela Marfel V01JUN26)</t>
        </is>
      </c>
      <c r="O294" s="12" t="inlineStr">
        <is>
          <t>Sem custo cadastrado da Alquimia para esta gramatura — usado apenas o valor da Marfel.</t>
        </is>
      </c>
    </row>
    <row r="295">
      <c r="A295" s="6" t="inlineStr">
        <is>
          <t>Alça Vazada</t>
        </is>
      </c>
      <c r="B295" s="7" t="inlineStr">
        <is>
          <t>30x40</t>
        </is>
      </c>
      <c r="C295" s="7" t="inlineStr">
        <is>
          <t>0,06</t>
        </is>
      </c>
      <c r="D295" s="7" t="inlineStr">
        <is>
          <t>100–199</t>
        </is>
      </c>
      <c r="E295" s="7" t="n">
        <v>100</v>
      </c>
      <c r="F295" s="8" t="n">
        <v>0.2565</v>
      </c>
      <c r="G295" s="8" t="n">
        <v>0</v>
      </c>
      <c r="H295" s="8" t="n">
        <v>0.2565</v>
      </c>
      <c r="I295" s="9" t="inlineStr">
        <is>
          <t>Marfel (unico)</t>
        </is>
      </c>
      <c r="J295" s="8" t="n">
        <v>0.3</v>
      </c>
      <c r="K295" s="10">
        <f>H295+J295</f>
        <v/>
      </c>
      <c r="L295" s="11" t="n">
        <v>1</v>
      </c>
      <c r="M295" s="10">
        <f>K295*(1+L295)</f>
        <v/>
      </c>
      <c r="N295" s="7" t="inlineStr">
        <is>
          <t>NOVO (Tabela Marfel V01JUN26)</t>
        </is>
      </c>
      <c r="O295" s="12" t="inlineStr">
        <is>
          <t>Sem custo cadastrado da Alquimia para esta gramatura — usado apenas o valor da Marfel.</t>
        </is>
      </c>
    </row>
    <row r="296">
      <c r="A296" s="6" t="inlineStr">
        <is>
          <t>Alça Vazada</t>
        </is>
      </c>
      <c r="B296" s="7" t="inlineStr">
        <is>
          <t>30x40</t>
        </is>
      </c>
      <c r="C296" s="7" t="inlineStr">
        <is>
          <t>0,06</t>
        </is>
      </c>
      <c r="D296" s="7" t="inlineStr">
        <is>
          <t>200–299</t>
        </is>
      </c>
      <c r="E296" s="7" t="n">
        <v>200</v>
      </c>
      <c r="F296" s="8" t="n">
        <v>0.2565</v>
      </c>
      <c r="G296" s="8" t="n">
        <v>0</v>
      </c>
      <c r="H296" s="8" t="n">
        <v>0.2565</v>
      </c>
      <c r="I296" s="9" t="inlineStr">
        <is>
          <t>Marfel (unico)</t>
        </is>
      </c>
      <c r="J296" s="8" t="n">
        <v>0.3</v>
      </c>
      <c r="K296" s="10">
        <f>H296+J296</f>
        <v/>
      </c>
      <c r="L296" s="11" t="n">
        <v>0.75</v>
      </c>
      <c r="M296" s="10">
        <f>K296*(1+L296)</f>
        <v/>
      </c>
      <c r="N296" s="7" t="inlineStr">
        <is>
          <t>NOVO (Tabela Marfel V01JUN26)</t>
        </is>
      </c>
      <c r="O296" s="12" t="inlineStr">
        <is>
          <t>Sem custo cadastrado da Alquimia para esta gramatura — usado apenas o valor da Marfel.</t>
        </is>
      </c>
    </row>
    <row r="297">
      <c r="A297" s="6" t="inlineStr">
        <is>
          <t>Alça Vazada</t>
        </is>
      </c>
      <c r="B297" s="7" t="inlineStr">
        <is>
          <t>30x40</t>
        </is>
      </c>
      <c r="C297" s="7" t="inlineStr">
        <is>
          <t>0,06</t>
        </is>
      </c>
      <c r="D297" s="7" t="inlineStr">
        <is>
          <t>300–399</t>
        </is>
      </c>
      <c r="E297" s="7" t="n">
        <v>300</v>
      </c>
      <c r="F297" s="8" t="n">
        <v>0.2565</v>
      </c>
      <c r="G297" s="8" t="n">
        <v>0</v>
      </c>
      <c r="H297" s="8" t="n">
        <v>0.2565</v>
      </c>
      <c r="I297" s="9" t="inlineStr">
        <is>
          <t>Marfel (unico)</t>
        </is>
      </c>
      <c r="J297" s="8" t="n">
        <v>0.3</v>
      </c>
      <c r="K297" s="10">
        <f>H297+J297</f>
        <v/>
      </c>
      <c r="L297" s="11" t="n">
        <v>0.7</v>
      </c>
      <c r="M297" s="10">
        <f>K297*(1+L297)</f>
        <v/>
      </c>
      <c r="N297" s="7" t="inlineStr">
        <is>
          <t>NOVO (Tabela Marfel V01JUN26)</t>
        </is>
      </c>
      <c r="O297" s="12" t="inlineStr">
        <is>
          <t>Sem custo cadastrado da Alquimia para esta gramatura — usado apenas o valor da Marfel.</t>
        </is>
      </c>
    </row>
    <row r="298">
      <c r="A298" s="6" t="inlineStr">
        <is>
          <t>Alça Vazada</t>
        </is>
      </c>
      <c r="B298" s="7" t="inlineStr">
        <is>
          <t>30x40</t>
        </is>
      </c>
      <c r="C298" s="7" t="inlineStr">
        <is>
          <t>0,06</t>
        </is>
      </c>
      <c r="D298" s="7" t="inlineStr">
        <is>
          <t>400–499</t>
        </is>
      </c>
      <c r="E298" s="7" t="n">
        <v>400</v>
      </c>
      <c r="F298" s="8" t="n">
        <v>0.2565</v>
      </c>
      <c r="G298" s="8" t="n">
        <v>0</v>
      </c>
      <c r="H298" s="8" t="n">
        <v>0.2565</v>
      </c>
      <c r="I298" s="9" t="inlineStr">
        <is>
          <t>Marfel (unico)</t>
        </is>
      </c>
      <c r="J298" s="8" t="n">
        <v>0.3</v>
      </c>
      <c r="K298" s="10">
        <f>H298+J298</f>
        <v/>
      </c>
      <c r="L298" s="11" t="n">
        <v>0.65</v>
      </c>
      <c r="M298" s="10">
        <f>K298*(1+L298)</f>
        <v/>
      </c>
      <c r="N298" s="7" t="inlineStr">
        <is>
          <t>NOVO (Tabela Marfel V01JUN26)</t>
        </is>
      </c>
      <c r="O298" s="12" t="inlineStr">
        <is>
          <t>Sem custo cadastrado da Alquimia para esta gramatura — usado apenas o valor da Marfel.</t>
        </is>
      </c>
    </row>
    <row r="299">
      <c r="A299" s="6" t="inlineStr">
        <is>
          <t>Alça Vazada</t>
        </is>
      </c>
      <c r="B299" s="7" t="inlineStr">
        <is>
          <t>30x40</t>
        </is>
      </c>
      <c r="C299" s="7" t="inlineStr">
        <is>
          <t>0,06</t>
        </is>
      </c>
      <c r="D299" s="7" t="inlineStr">
        <is>
          <t>500–599</t>
        </is>
      </c>
      <c r="E299" s="7" t="n">
        <v>500</v>
      </c>
      <c r="F299" s="8" t="n">
        <v>0.2565</v>
      </c>
      <c r="G299" s="8" t="n">
        <v>0</v>
      </c>
      <c r="H299" s="8" t="n">
        <v>0.2565</v>
      </c>
      <c r="I299" s="9" t="inlineStr">
        <is>
          <t>Marfel (unico)</t>
        </is>
      </c>
      <c r="J299" s="8" t="n">
        <v>0.3</v>
      </c>
      <c r="K299" s="10">
        <f>H299+J299</f>
        <v/>
      </c>
      <c r="L299" s="11" t="n">
        <v>0.6</v>
      </c>
      <c r="M299" s="10">
        <f>K299*(1+L299)</f>
        <v/>
      </c>
      <c r="N299" s="7" t="inlineStr">
        <is>
          <t>NOVO (Tabela Marfel V01JUN26)</t>
        </is>
      </c>
      <c r="O299" s="12" t="inlineStr">
        <is>
          <t>Sem custo cadastrado da Alquimia para esta gramatura — usado apenas o valor da Marfel.</t>
        </is>
      </c>
    </row>
    <row r="300">
      <c r="A300" s="6" t="inlineStr">
        <is>
          <t>Alça Vazada</t>
        </is>
      </c>
      <c r="B300" s="7" t="inlineStr">
        <is>
          <t>30x40</t>
        </is>
      </c>
      <c r="C300" s="7" t="inlineStr">
        <is>
          <t>0,06</t>
        </is>
      </c>
      <c r="D300" s="7" t="inlineStr">
        <is>
          <t>600–699</t>
        </is>
      </c>
      <c r="E300" s="7" t="n">
        <v>600</v>
      </c>
      <c r="F300" s="8" t="n">
        <v>0.2565</v>
      </c>
      <c r="G300" s="8" t="n">
        <v>0</v>
      </c>
      <c r="H300" s="8" t="n">
        <v>0.2565</v>
      </c>
      <c r="I300" s="9" t="inlineStr">
        <is>
          <t>Marfel (unico)</t>
        </is>
      </c>
      <c r="J300" s="8" t="n">
        <v>0.3</v>
      </c>
      <c r="K300" s="10">
        <f>H300+J300</f>
        <v/>
      </c>
      <c r="L300" s="11" t="n">
        <v>0.57</v>
      </c>
      <c r="M300" s="10">
        <f>K300*(1+L300)</f>
        <v/>
      </c>
      <c r="N300" s="7" t="inlineStr">
        <is>
          <t>NOVO (Tabela Marfel V01JUN26)</t>
        </is>
      </c>
      <c r="O300" s="12" t="inlineStr">
        <is>
          <t>Sem custo cadastrado da Alquimia para esta gramatura — usado apenas o valor da Marfel.</t>
        </is>
      </c>
    </row>
    <row r="301">
      <c r="A301" s="6" t="inlineStr">
        <is>
          <t>Alça Vazada</t>
        </is>
      </c>
      <c r="B301" s="7" t="inlineStr">
        <is>
          <t>30x40</t>
        </is>
      </c>
      <c r="C301" s="7" t="inlineStr">
        <is>
          <t>0,06</t>
        </is>
      </c>
      <c r="D301" s="7" t="inlineStr">
        <is>
          <t>700–799</t>
        </is>
      </c>
      <c r="E301" s="7" t="n">
        <v>700</v>
      </c>
      <c r="F301" s="8" t="n">
        <v>0.2565</v>
      </c>
      <c r="G301" s="8" t="n">
        <v>0</v>
      </c>
      <c r="H301" s="8" t="n">
        <v>0.2565</v>
      </c>
      <c r="I301" s="9" t="inlineStr">
        <is>
          <t>Marfel (unico)</t>
        </is>
      </c>
      <c r="J301" s="8" t="n">
        <v>0.3</v>
      </c>
      <c r="K301" s="10">
        <f>H301+J301</f>
        <v/>
      </c>
      <c r="L301" s="11" t="n">
        <v>0.54</v>
      </c>
      <c r="M301" s="10">
        <f>K301*(1+L301)</f>
        <v/>
      </c>
      <c r="N301" s="7" t="inlineStr">
        <is>
          <t>NOVO (Tabela Marfel V01JUN26)</t>
        </is>
      </c>
      <c r="O301" s="12" t="inlineStr">
        <is>
          <t>Sem custo cadastrado da Alquimia para esta gramatura — usado apenas o valor da Marfel.</t>
        </is>
      </c>
    </row>
    <row r="302">
      <c r="A302" s="6" t="inlineStr">
        <is>
          <t>Alça Vazada</t>
        </is>
      </c>
      <c r="B302" s="7" t="inlineStr">
        <is>
          <t>30x40</t>
        </is>
      </c>
      <c r="C302" s="7" t="inlineStr">
        <is>
          <t>0,06</t>
        </is>
      </c>
      <c r="D302" s="7" t="inlineStr">
        <is>
          <t>800–899</t>
        </is>
      </c>
      <c r="E302" s="7" t="n">
        <v>800</v>
      </c>
      <c r="F302" s="8" t="n">
        <v>0.2565</v>
      </c>
      <c r="G302" s="8" t="n">
        <v>0</v>
      </c>
      <c r="H302" s="8" t="n">
        <v>0.2565</v>
      </c>
      <c r="I302" s="9" t="inlineStr">
        <is>
          <t>Marfel (unico)</t>
        </is>
      </c>
      <c r="J302" s="8" t="n">
        <v>0.3</v>
      </c>
      <c r="K302" s="10">
        <f>H302+J302</f>
        <v/>
      </c>
      <c r="L302" s="11" t="n">
        <v>0.51</v>
      </c>
      <c r="M302" s="10">
        <f>K302*(1+L302)</f>
        <v/>
      </c>
      <c r="N302" s="7" t="inlineStr">
        <is>
          <t>NOVO (Tabela Marfel V01JUN26)</t>
        </is>
      </c>
      <c r="O302" s="12" t="inlineStr">
        <is>
          <t>Sem custo cadastrado da Alquimia para esta gramatura — usado apenas o valor da Marfel.</t>
        </is>
      </c>
    </row>
    <row r="303">
      <c r="A303" s="6" t="inlineStr">
        <is>
          <t>Alça Vazada</t>
        </is>
      </c>
      <c r="B303" s="7" t="inlineStr">
        <is>
          <t>30x40</t>
        </is>
      </c>
      <c r="C303" s="7" t="inlineStr">
        <is>
          <t>0,06</t>
        </is>
      </c>
      <c r="D303" s="7" t="inlineStr">
        <is>
          <t>900–999</t>
        </is>
      </c>
      <c r="E303" s="7" t="n">
        <v>900</v>
      </c>
      <c r="F303" s="8" t="n">
        <v>0.2565</v>
      </c>
      <c r="G303" s="8" t="n">
        <v>0</v>
      </c>
      <c r="H303" s="8" t="n">
        <v>0.2565</v>
      </c>
      <c r="I303" s="9" t="inlineStr">
        <is>
          <t>Marfel (unico)</t>
        </is>
      </c>
      <c r="J303" s="8" t="n">
        <v>0.3</v>
      </c>
      <c r="K303" s="10">
        <f>H303+J303</f>
        <v/>
      </c>
      <c r="L303" s="11" t="n">
        <v>0.48</v>
      </c>
      <c r="M303" s="10">
        <f>K303*(1+L303)</f>
        <v/>
      </c>
      <c r="N303" s="7" t="inlineStr">
        <is>
          <t>NOVO (Tabela Marfel V01JUN26)</t>
        </is>
      </c>
      <c r="O303" s="12" t="inlineStr">
        <is>
          <t>Sem custo cadastrado da Alquimia para esta gramatura — usado apenas o valor da Marfel.</t>
        </is>
      </c>
    </row>
    <row r="304">
      <c r="A304" s="6" t="inlineStr">
        <is>
          <t>Alça Vazada</t>
        </is>
      </c>
      <c r="B304" s="7" t="inlineStr">
        <is>
          <t>30x40</t>
        </is>
      </c>
      <c r="C304" s="7" t="inlineStr">
        <is>
          <t>0,06</t>
        </is>
      </c>
      <c r="D304" s="7" t="inlineStr">
        <is>
          <t>1000+</t>
        </is>
      </c>
      <c r="E304" s="7" t="n">
        <v>1000</v>
      </c>
      <c r="F304" s="8" t="n">
        <v>0.2565</v>
      </c>
      <c r="G304" s="8" t="n">
        <v>0</v>
      </c>
      <c r="H304" s="8" t="n">
        <v>0.2565</v>
      </c>
      <c r="I304" s="9" t="inlineStr">
        <is>
          <t>Marfel (unico)</t>
        </is>
      </c>
      <c r="J304" s="8" t="n">
        <v>0.3</v>
      </c>
      <c r="K304" s="10">
        <f>H304+J304</f>
        <v/>
      </c>
      <c r="L304" s="11" t="n">
        <v>0.4</v>
      </c>
      <c r="M304" s="10">
        <f>K304*(1+L304)</f>
        <v/>
      </c>
      <c r="N304" s="7" t="inlineStr">
        <is>
          <t>NOVO (Tabela Marfel V01JUN26)</t>
        </is>
      </c>
      <c r="O304" s="12" t="inlineStr">
        <is>
          <t>Sem custo cadastrado da Alquimia para esta gramatura — usado apenas o valor da Marfel.</t>
        </is>
      </c>
    </row>
    <row r="305">
      <c r="A305" s="13" t="inlineStr">
        <is>
          <t>Alça Vazada</t>
        </is>
      </c>
      <c r="B305" s="14" t="inlineStr">
        <is>
          <t>30x40</t>
        </is>
      </c>
      <c r="C305" s="14" t="inlineStr">
        <is>
          <t>0,08</t>
        </is>
      </c>
      <c r="D305" s="14" t="inlineStr">
        <is>
          <t>100–199</t>
        </is>
      </c>
      <c r="E305" s="14" t="n">
        <v>100</v>
      </c>
      <c r="F305" s="15" t="n">
        <v>0.342</v>
      </c>
      <c r="G305" s="15" t="n">
        <v>0.265</v>
      </c>
      <c r="H305" s="15" t="n">
        <v>0.342</v>
      </c>
      <c r="I305" s="16" t="inlineStr">
        <is>
          <t>Marfel</t>
        </is>
      </c>
      <c r="J305" s="15" t="n">
        <v>0.3</v>
      </c>
      <c r="K305" s="17">
        <f>H305+J305</f>
        <v/>
      </c>
      <c r="L305" s="18" t="n">
        <v>1</v>
      </c>
      <c r="M305" s="17">
        <f>K305*(1+L305)</f>
        <v/>
      </c>
      <c r="N305" s="14" t="inlineStr">
        <is>
          <t>já existia</t>
        </is>
      </c>
      <c r="O305" s="19" t="inlineStr"/>
    </row>
    <row r="306">
      <c r="A306" s="13" t="inlineStr">
        <is>
          <t>Alça Vazada</t>
        </is>
      </c>
      <c r="B306" s="14" t="inlineStr">
        <is>
          <t>30x40</t>
        </is>
      </c>
      <c r="C306" s="14" t="inlineStr">
        <is>
          <t>0,08</t>
        </is>
      </c>
      <c r="D306" s="14" t="inlineStr">
        <is>
          <t>200–299</t>
        </is>
      </c>
      <c r="E306" s="14" t="n">
        <v>200</v>
      </c>
      <c r="F306" s="15" t="n">
        <v>0.342</v>
      </c>
      <c r="G306" s="15" t="n">
        <v>0.265</v>
      </c>
      <c r="H306" s="15" t="n">
        <v>0.342</v>
      </c>
      <c r="I306" s="16" t="inlineStr">
        <is>
          <t>Marfel</t>
        </is>
      </c>
      <c r="J306" s="15" t="n">
        <v>0.3</v>
      </c>
      <c r="K306" s="17">
        <f>H306+J306</f>
        <v/>
      </c>
      <c r="L306" s="18" t="n">
        <v>0.75</v>
      </c>
      <c r="M306" s="17">
        <f>K306*(1+L306)</f>
        <v/>
      </c>
      <c r="N306" s="14" t="inlineStr">
        <is>
          <t>já existia</t>
        </is>
      </c>
      <c r="O306" s="19" t="inlineStr"/>
    </row>
    <row r="307">
      <c r="A307" s="13" t="inlineStr">
        <is>
          <t>Alça Vazada</t>
        </is>
      </c>
      <c r="B307" s="14" t="inlineStr">
        <is>
          <t>30x40</t>
        </is>
      </c>
      <c r="C307" s="14" t="inlineStr">
        <is>
          <t>0,08</t>
        </is>
      </c>
      <c r="D307" s="14" t="inlineStr">
        <is>
          <t>300–399</t>
        </is>
      </c>
      <c r="E307" s="14" t="n">
        <v>300</v>
      </c>
      <c r="F307" s="15" t="n">
        <v>0.342</v>
      </c>
      <c r="G307" s="15" t="n">
        <v>0.265</v>
      </c>
      <c r="H307" s="15" t="n">
        <v>0.342</v>
      </c>
      <c r="I307" s="16" t="inlineStr">
        <is>
          <t>Marfel</t>
        </is>
      </c>
      <c r="J307" s="15" t="n">
        <v>0.3</v>
      </c>
      <c r="K307" s="17">
        <f>H307+J307</f>
        <v/>
      </c>
      <c r="L307" s="18" t="n">
        <v>0.7</v>
      </c>
      <c r="M307" s="17">
        <f>K307*(1+L307)</f>
        <v/>
      </c>
      <c r="N307" s="14" t="inlineStr">
        <is>
          <t>já existia</t>
        </is>
      </c>
      <c r="O307" s="19" t="inlineStr"/>
    </row>
    <row r="308">
      <c r="A308" s="13" t="inlineStr">
        <is>
          <t>Alça Vazada</t>
        </is>
      </c>
      <c r="B308" s="14" t="inlineStr">
        <is>
          <t>30x40</t>
        </is>
      </c>
      <c r="C308" s="14" t="inlineStr">
        <is>
          <t>0,08</t>
        </is>
      </c>
      <c r="D308" s="14" t="inlineStr">
        <is>
          <t>400–499</t>
        </is>
      </c>
      <c r="E308" s="14" t="n">
        <v>400</v>
      </c>
      <c r="F308" s="15" t="n">
        <v>0.342</v>
      </c>
      <c r="G308" s="15" t="n">
        <v>0.265</v>
      </c>
      <c r="H308" s="15" t="n">
        <v>0.342</v>
      </c>
      <c r="I308" s="16" t="inlineStr">
        <is>
          <t>Marfel</t>
        </is>
      </c>
      <c r="J308" s="15" t="n">
        <v>0.3</v>
      </c>
      <c r="K308" s="17">
        <f>H308+J308</f>
        <v/>
      </c>
      <c r="L308" s="18" t="n">
        <v>0.65</v>
      </c>
      <c r="M308" s="17">
        <f>K308*(1+L308)</f>
        <v/>
      </c>
      <c r="N308" s="14" t="inlineStr">
        <is>
          <t>já existia</t>
        </is>
      </c>
      <c r="O308" s="19" t="inlineStr"/>
    </row>
    <row r="309">
      <c r="A309" s="13" t="inlineStr">
        <is>
          <t>Alça Vazada</t>
        </is>
      </c>
      <c r="B309" s="14" t="inlineStr">
        <is>
          <t>30x40</t>
        </is>
      </c>
      <c r="C309" s="14" t="inlineStr">
        <is>
          <t>0,08</t>
        </is>
      </c>
      <c r="D309" s="14" t="inlineStr">
        <is>
          <t>500–599</t>
        </is>
      </c>
      <c r="E309" s="14" t="n">
        <v>500</v>
      </c>
      <c r="F309" s="15" t="n">
        <v>0.342</v>
      </c>
      <c r="G309" s="15" t="n">
        <v>0.265</v>
      </c>
      <c r="H309" s="15" t="n">
        <v>0.342</v>
      </c>
      <c r="I309" s="16" t="inlineStr">
        <is>
          <t>Marfel</t>
        </is>
      </c>
      <c r="J309" s="15" t="n">
        <v>0.3</v>
      </c>
      <c r="K309" s="17">
        <f>H309+J309</f>
        <v/>
      </c>
      <c r="L309" s="18" t="n">
        <v>0.6</v>
      </c>
      <c r="M309" s="17">
        <f>K309*(1+L309)</f>
        <v/>
      </c>
      <c r="N309" s="14" t="inlineStr">
        <is>
          <t>já existia</t>
        </is>
      </c>
      <c r="O309" s="19" t="inlineStr"/>
    </row>
    <row r="310">
      <c r="A310" s="13" t="inlineStr">
        <is>
          <t>Alça Vazada</t>
        </is>
      </c>
      <c r="B310" s="14" t="inlineStr">
        <is>
          <t>30x40</t>
        </is>
      </c>
      <c r="C310" s="14" t="inlineStr">
        <is>
          <t>0,08</t>
        </is>
      </c>
      <c r="D310" s="14" t="inlineStr">
        <is>
          <t>600–699</t>
        </is>
      </c>
      <c r="E310" s="14" t="n">
        <v>600</v>
      </c>
      <c r="F310" s="15" t="n">
        <v>0.342</v>
      </c>
      <c r="G310" s="15" t="n">
        <v>0.265</v>
      </c>
      <c r="H310" s="15" t="n">
        <v>0.342</v>
      </c>
      <c r="I310" s="16" t="inlineStr">
        <is>
          <t>Marfel</t>
        </is>
      </c>
      <c r="J310" s="15" t="n">
        <v>0.3</v>
      </c>
      <c r="K310" s="17">
        <f>H310+J310</f>
        <v/>
      </c>
      <c r="L310" s="18" t="n">
        <v>0.57</v>
      </c>
      <c r="M310" s="17">
        <f>K310*(1+L310)</f>
        <v/>
      </c>
      <c r="N310" s="14" t="inlineStr">
        <is>
          <t>já existia</t>
        </is>
      </c>
      <c r="O310" s="19" t="inlineStr"/>
    </row>
    <row r="311">
      <c r="A311" s="13" t="inlineStr">
        <is>
          <t>Alça Vazada</t>
        </is>
      </c>
      <c r="B311" s="14" t="inlineStr">
        <is>
          <t>30x40</t>
        </is>
      </c>
      <c r="C311" s="14" t="inlineStr">
        <is>
          <t>0,08</t>
        </is>
      </c>
      <c r="D311" s="14" t="inlineStr">
        <is>
          <t>700–799</t>
        </is>
      </c>
      <c r="E311" s="14" t="n">
        <v>700</v>
      </c>
      <c r="F311" s="15" t="n">
        <v>0.342</v>
      </c>
      <c r="G311" s="15" t="n">
        <v>0.265</v>
      </c>
      <c r="H311" s="15" t="n">
        <v>0.342</v>
      </c>
      <c r="I311" s="16" t="inlineStr">
        <is>
          <t>Marfel</t>
        </is>
      </c>
      <c r="J311" s="15" t="n">
        <v>0.3</v>
      </c>
      <c r="K311" s="17">
        <f>H311+J311</f>
        <v/>
      </c>
      <c r="L311" s="18" t="n">
        <v>0.54</v>
      </c>
      <c r="M311" s="17">
        <f>K311*(1+L311)</f>
        <v/>
      </c>
      <c r="N311" s="14" t="inlineStr">
        <is>
          <t>já existia</t>
        </is>
      </c>
      <c r="O311" s="19" t="inlineStr"/>
    </row>
    <row r="312">
      <c r="A312" s="13" t="inlineStr">
        <is>
          <t>Alça Vazada</t>
        </is>
      </c>
      <c r="B312" s="14" t="inlineStr">
        <is>
          <t>30x40</t>
        </is>
      </c>
      <c r="C312" s="14" t="inlineStr">
        <is>
          <t>0,08</t>
        </is>
      </c>
      <c r="D312" s="14" t="inlineStr">
        <is>
          <t>800–899</t>
        </is>
      </c>
      <c r="E312" s="14" t="n">
        <v>800</v>
      </c>
      <c r="F312" s="15" t="n">
        <v>0.342</v>
      </c>
      <c r="G312" s="15" t="n">
        <v>0.265</v>
      </c>
      <c r="H312" s="15" t="n">
        <v>0.342</v>
      </c>
      <c r="I312" s="16" t="inlineStr">
        <is>
          <t>Marfel</t>
        </is>
      </c>
      <c r="J312" s="15" t="n">
        <v>0.3</v>
      </c>
      <c r="K312" s="17">
        <f>H312+J312</f>
        <v/>
      </c>
      <c r="L312" s="18" t="n">
        <v>0.51</v>
      </c>
      <c r="M312" s="17">
        <f>K312*(1+L312)</f>
        <v/>
      </c>
      <c r="N312" s="14" t="inlineStr">
        <is>
          <t>já existia</t>
        </is>
      </c>
      <c r="O312" s="19" t="inlineStr"/>
    </row>
    <row r="313">
      <c r="A313" s="13" t="inlineStr">
        <is>
          <t>Alça Vazada</t>
        </is>
      </c>
      <c r="B313" s="14" t="inlineStr">
        <is>
          <t>30x40</t>
        </is>
      </c>
      <c r="C313" s="14" t="inlineStr">
        <is>
          <t>0,08</t>
        </is>
      </c>
      <c r="D313" s="14" t="inlineStr">
        <is>
          <t>900–999</t>
        </is>
      </c>
      <c r="E313" s="14" t="n">
        <v>900</v>
      </c>
      <c r="F313" s="15" t="n">
        <v>0.342</v>
      </c>
      <c r="G313" s="15" t="n">
        <v>0.265</v>
      </c>
      <c r="H313" s="15" t="n">
        <v>0.342</v>
      </c>
      <c r="I313" s="16" t="inlineStr">
        <is>
          <t>Marfel</t>
        </is>
      </c>
      <c r="J313" s="15" t="n">
        <v>0.3</v>
      </c>
      <c r="K313" s="17">
        <f>H313+J313</f>
        <v/>
      </c>
      <c r="L313" s="18" t="n">
        <v>0.48</v>
      </c>
      <c r="M313" s="17">
        <f>K313*(1+L313)</f>
        <v/>
      </c>
      <c r="N313" s="14" t="inlineStr">
        <is>
          <t>já existia</t>
        </is>
      </c>
      <c r="O313" s="19" t="inlineStr"/>
    </row>
    <row r="314">
      <c r="A314" s="13" t="inlineStr">
        <is>
          <t>Alça Vazada</t>
        </is>
      </c>
      <c r="B314" s="14" t="inlineStr">
        <is>
          <t>30x40</t>
        </is>
      </c>
      <c r="C314" s="14" t="inlineStr">
        <is>
          <t>0,08</t>
        </is>
      </c>
      <c r="D314" s="14" t="inlineStr">
        <is>
          <t>1000+</t>
        </is>
      </c>
      <c r="E314" s="14" t="n">
        <v>1000</v>
      </c>
      <c r="F314" s="15" t="n">
        <v>0.342</v>
      </c>
      <c r="G314" s="15" t="n">
        <v>0.265</v>
      </c>
      <c r="H314" s="15" t="n">
        <v>0.342</v>
      </c>
      <c r="I314" s="16" t="inlineStr">
        <is>
          <t>Marfel</t>
        </is>
      </c>
      <c r="J314" s="15" t="n">
        <v>0.3</v>
      </c>
      <c r="K314" s="17">
        <f>H314+J314</f>
        <v/>
      </c>
      <c r="L314" s="18" t="n">
        <v>0.4</v>
      </c>
      <c r="M314" s="17">
        <f>K314*(1+L314)</f>
        <v/>
      </c>
      <c r="N314" s="14" t="inlineStr">
        <is>
          <t>já existia</t>
        </is>
      </c>
      <c r="O314" s="19" t="inlineStr"/>
    </row>
    <row r="315">
      <c r="A315" s="6" t="inlineStr">
        <is>
          <t>Alça Vazada</t>
        </is>
      </c>
      <c r="B315" s="7" t="inlineStr">
        <is>
          <t>30x40</t>
        </is>
      </c>
      <c r="C315" s="7" t="inlineStr">
        <is>
          <t>0,10</t>
        </is>
      </c>
      <c r="D315" s="7" t="inlineStr">
        <is>
          <t>100–199</t>
        </is>
      </c>
      <c r="E315" s="7" t="n">
        <v>100</v>
      </c>
      <c r="F315" s="8" t="n">
        <v>0.4104</v>
      </c>
      <c r="G315" s="8" t="n">
        <v>0</v>
      </c>
      <c r="H315" s="8" t="n">
        <v>0.4104</v>
      </c>
      <c r="I315" s="9" t="inlineStr">
        <is>
          <t>Marfel (unico)</t>
        </is>
      </c>
      <c r="J315" s="8" t="n">
        <v>0.3</v>
      </c>
      <c r="K315" s="10">
        <f>H315+J315</f>
        <v/>
      </c>
      <c r="L315" s="11" t="n">
        <v>1</v>
      </c>
      <c r="M315" s="10">
        <f>K315*(1+L315)</f>
        <v/>
      </c>
      <c r="N315" s="7" t="inlineStr">
        <is>
          <t>NOVO (Tabela Marfel V01JUN26)</t>
        </is>
      </c>
      <c r="O315" s="12" t="inlineStr">
        <is>
          <t>Sem custo cadastrado da Alquimia para esta gramatura — usado apenas o valor da Marfel.</t>
        </is>
      </c>
    </row>
    <row r="316">
      <c r="A316" s="6" t="inlineStr">
        <is>
          <t>Alça Vazada</t>
        </is>
      </c>
      <c r="B316" s="7" t="inlineStr">
        <is>
          <t>30x40</t>
        </is>
      </c>
      <c r="C316" s="7" t="inlineStr">
        <is>
          <t>0,10</t>
        </is>
      </c>
      <c r="D316" s="7" t="inlineStr">
        <is>
          <t>200–299</t>
        </is>
      </c>
      <c r="E316" s="7" t="n">
        <v>200</v>
      </c>
      <c r="F316" s="8" t="n">
        <v>0.4104</v>
      </c>
      <c r="G316" s="8" t="n">
        <v>0</v>
      </c>
      <c r="H316" s="8" t="n">
        <v>0.4104</v>
      </c>
      <c r="I316" s="9" t="inlineStr">
        <is>
          <t>Marfel (unico)</t>
        </is>
      </c>
      <c r="J316" s="8" t="n">
        <v>0.3</v>
      </c>
      <c r="K316" s="10">
        <f>H316+J316</f>
        <v/>
      </c>
      <c r="L316" s="11" t="n">
        <v>0.75</v>
      </c>
      <c r="M316" s="10">
        <f>K316*(1+L316)</f>
        <v/>
      </c>
      <c r="N316" s="7" t="inlineStr">
        <is>
          <t>NOVO (Tabela Marfel V01JUN26)</t>
        </is>
      </c>
      <c r="O316" s="12" t="inlineStr">
        <is>
          <t>Sem custo cadastrado da Alquimia para esta gramatura — usado apenas o valor da Marfel.</t>
        </is>
      </c>
    </row>
    <row r="317">
      <c r="A317" s="6" t="inlineStr">
        <is>
          <t>Alça Vazada</t>
        </is>
      </c>
      <c r="B317" s="7" t="inlineStr">
        <is>
          <t>30x40</t>
        </is>
      </c>
      <c r="C317" s="7" t="inlineStr">
        <is>
          <t>0,10</t>
        </is>
      </c>
      <c r="D317" s="7" t="inlineStr">
        <is>
          <t>300–399</t>
        </is>
      </c>
      <c r="E317" s="7" t="n">
        <v>300</v>
      </c>
      <c r="F317" s="8" t="n">
        <v>0.4104</v>
      </c>
      <c r="G317" s="8" t="n">
        <v>0</v>
      </c>
      <c r="H317" s="8" t="n">
        <v>0.4104</v>
      </c>
      <c r="I317" s="9" t="inlineStr">
        <is>
          <t>Marfel (unico)</t>
        </is>
      </c>
      <c r="J317" s="8" t="n">
        <v>0.3</v>
      </c>
      <c r="K317" s="10">
        <f>H317+J317</f>
        <v/>
      </c>
      <c r="L317" s="11" t="n">
        <v>0.7</v>
      </c>
      <c r="M317" s="10">
        <f>K317*(1+L317)</f>
        <v/>
      </c>
      <c r="N317" s="7" t="inlineStr">
        <is>
          <t>NOVO (Tabela Marfel V01JUN26)</t>
        </is>
      </c>
      <c r="O317" s="12" t="inlineStr">
        <is>
          <t>Sem custo cadastrado da Alquimia para esta gramatura — usado apenas o valor da Marfel.</t>
        </is>
      </c>
    </row>
    <row r="318">
      <c r="A318" s="6" t="inlineStr">
        <is>
          <t>Alça Vazada</t>
        </is>
      </c>
      <c r="B318" s="7" t="inlineStr">
        <is>
          <t>30x40</t>
        </is>
      </c>
      <c r="C318" s="7" t="inlineStr">
        <is>
          <t>0,10</t>
        </is>
      </c>
      <c r="D318" s="7" t="inlineStr">
        <is>
          <t>400–499</t>
        </is>
      </c>
      <c r="E318" s="7" t="n">
        <v>400</v>
      </c>
      <c r="F318" s="8" t="n">
        <v>0.4104</v>
      </c>
      <c r="G318" s="8" t="n">
        <v>0</v>
      </c>
      <c r="H318" s="8" t="n">
        <v>0.4104</v>
      </c>
      <c r="I318" s="9" t="inlineStr">
        <is>
          <t>Marfel (unico)</t>
        </is>
      </c>
      <c r="J318" s="8" t="n">
        <v>0.3</v>
      </c>
      <c r="K318" s="10">
        <f>H318+J318</f>
        <v/>
      </c>
      <c r="L318" s="11" t="n">
        <v>0.65</v>
      </c>
      <c r="M318" s="10">
        <f>K318*(1+L318)</f>
        <v/>
      </c>
      <c r="N318" s="7" t="inlineStr">
        <is>
          <t>NOVO (Tabela Marfel V01JUN26)</t>
        </is>
      </c>
      <c r="O318" s="12" t="inlineStr">
        <is>
          <t>Sem custo cadastrado da Alquimia para esta gramatura — usado apenas o valor da Marfel.</t>
        </is>
      </c>
    </row>
    <row r="319">
      <c r="A319" s="6" t="inlineStr">
        <is>
          <t>Alça Vazada</t>
        </is>
      </c>
      <c r="B319" s="7" t="inlineStr">
        <is>
          <t>30x40</t>
        </is>
      </c>
      <c r="C319" s="7" t="inlineStr">
        <is>
          <t>0,10</t>
        </is>
      </c>
      <c r="D319" s="7" t="inlineStr">
        <is>
          <t>500–599</t>
        </is>
      </c>
      <c r="E319" s="7" t="n">
        <v>500</v>
      </c>
      <c r="F319" s="8" t="n">
        <v>0.4104</v>
      </c>
      <c r="G319" s="8" t="n">
        <v>0</v>
      </c>
      <c r="H319" s="8" t="n">
        <v>0.4104</v>
      </c>
      <c r="I319" s="9" t="inlineStr">
        <is>
          <t>Marfel (unico)</t>
        </is>
      </c>
      <c r="J319" s="8" t="n">
        <v>0.3</v>
      </c>
      <c r="K319" s="10">
        <f>H319+J319</f>
        <v/>
      </c>
      <c r="L319" s="11" t="n">
        <v>0.6</v>
      </c>
      <c r="M319" s="10">
        <f>K319*(1+L319)</f>
        <v/>
      </c>
      <c r="N319" s="7" t="inlineStr">
        <is>
          <t>NOVO (Tabela Marfel V01JUN26)</t>
        </is>
      </c>
      <c r="O319" s="12" t="inlineStr">
        <is>
          <t>Sem custo cadastrado da Alquimia para esta gramatura — usado apenas o valor da Marfel.</t>
        </is>
      </c>
    </row>
    <row r="320">
      <c r="A320" s="6" t="inlineStr">
        <is>
          <t>Alça Vazada</t>
        </is>
      </c>
      <c r="B320" s="7" t="inlineStr">
        <is>
          <t>30x40</t>
        </is>
      </c>
      <c r="C320" s="7" t="inlineStr">
        <is>
          <t>0,10</t>
        </is>
      </c>
      <c r="D320" s="7" t="inlineStr">
        <is>
          <t>600–699</t>
        </is>
      </c>
      <c r="E320" s="7" t="n">
        <v>600</v>
      </c>
      <c r="F320" s="8" t="n">
        <v>0.4104</v>
      </c>
      <c r="G320" s="8" t="n">
        <v>0</v>
      </c>
      <c r="H320" s="8" t="n">
        <v>0.4104</v>
      </c>
      <c r="I320" s="9" t="inlineStr">
        <is>
          <t>Marfel (unico)</t>
        </is>
      </c>
      <c r="J320" s="8" t="n">
        <v>0.3</v>
      </c>
      <c r="K320" s="10">
        <f>H320+J320</f>
        <v/>
      </c>
      <c r="L320" s="11" t="n">
        <v>0.57</v>
      </c>
      <c r="M320" s="10">
        <f>K320*(1+L320)</f>
        <v/>
      </c>
      <c r="N320" s="7" t="inlineStr">
        <is>
          <t>NOVO (Tabela Marfel V01JUN26)</t>
        </is>
      </c>
      <c r="O320" s="12" t="inlineStr">
        <is>
          <t>Sem custo cadastrado da Alquimia para esta gramatura — usado apenas o valor da Marfel.</t>
        </is>
      </c>
    </row>
    <row r="321">
      <c r="A321" s="6" t="inlineStr">
        <is>
          <t>Alça Vazada</t>
        </is>
      </c>
      <c r="B321" s="7" t="inlineStr">
        <is>
          <t>30x40</t>
        </is>
      </c>
      <c r="C321" s="7" t="inlineStr">
        <is>
          <t>0,10</t>
        </is>
      </c>
      <c r="D321" s="7" t="inlineStr">
        <is>
          <t>700–799</t>
        </is>
      </c>
      <c r="E321" s="7" t="n">
        <v>700</v>
      </c>
      <c r="F321" s="8" t="n">
        <v>0.4104</v>
      </c>
      <c r="G321" s="8" t="n">
        <v>0</v>
      </c>
      <c r="H321" s="8" t="n">
        <v>0.4104</v>
      </c>
      <c r="I321" s="9" t="inlineStr">
        <is>
          <t>Marfel (unico)</t>
        </is>
      </c>
      <c r="J321" s="8" t="n">
        <v>0.3</v>
      </c>
      <c r="K321" s="10">
        <f>H321+J321</f>
        <v/>
      </c>
      <c r="L321" s="11" t="n">
        <v>0.54</v>
      </c>
      <c r="M321" s="10">
        <f>K321*(1+L321)</f>
        <v/>
      </c>
      <c r="N321" s="7" t="inlineStr">
        <is>
          <t>NOVO (Tabela Marfel V01JUN26)</t>
        </is>
      </c>
      <c r="O321" s="12" t="inlineStr">
        <is>
          <t>Sem custo cadastrado da Alquimia para esta gramatura — usado apenas o valor da Marfel.</t>
        </is>
      </c>
    </row>
    <row r="322">
      <c r="A322" s="6" t="inlineStr">
        <is>
          <t>Alça Vazada</t>
        </is>
      </c>
      <c r="B322" s="7" t="inlineStr">
        <is>
          <t>30x40</t>
        </is>
      </c>
      <c r="C322" s="7" t="inlineStr">
        <is>
          <t>0,10</t>
        </is>
      </c>
      <c r="D322" s="7" t="inlineStr">
        <is>
          <t>800–899</t>
        </is>
      </c>
      <c r="E322" s="7" t="n">
        <v>800</v>
      </c>
      <c r="F322" s="8" t="n">
        <v>0.4104</v>
      </c>
      <c r="G322" s="8" t="n">
        <v>0</v>
      </c>
      <c r="H322" s="8" t="n">
        <v>0.4104</v>
      </c>
      <c r="I322" s="9" t="inlineStr">
        <is>
          <t>Marfel (unico)</t>
        </is>
      </c>
      <c r="J322" s="8" t="n">
        <v>0.3</v>
      </c>
      <c r="K322" s="10">
        <f>H322+J322</f>
        <v/>
      </c>
      <c r="L322" s="11" t="n">
        <v>0.51</v>
      </c>
      <c r="M322" s="10">
        <f>K322*(1+L322)</f>
        <v/>
      </c>
      <c r="N322" s="7" t="inlineStr">
        <is>
          <t>NOVO (Tabela Marfel V01JUN26)</t>
        </is>
      </c>
      <c r="O322" s="12" t="inlineStr">
        <is>
          <t>Sem custo cadastrado da Alquimia para esta gramatura — usado apenas o valor da Marfel.</t>
        </is>
      </c>
    </row>
    <row r="323">
      <c r="A323" s="6" t="inlineStr">
        <is>
          <t>Alça Vazada</t>
        </is>
      </c>
      <c r="B323" s="7" t="inlineStr">
        <is>
          <t>30x40</t>
        </is>
      </c>
      <c r="C323" s="7" t="inlineStr">
        <is>
          <t>0,10</t>
        </is>
      </c>
      <c r="D323" s="7" t="inlineStr">
        <is>
          <t>900–999</t>
        </is>
      </c>
      <c r="E323" s="7" t="n">
        <v>900</v>
      </c>
      <c r="F323" s="8" t="n">
        <v>0.4104</v>
      </c>
      <c r="G323" s="8" t="n">
        <v>0</v>
      </c>
      <c r="H323" s="8" t="n">
        <v>0.4104</v>
      </c>
      <c r="I323" s="9" t="inlineStr">
        <is>
          <t>Marfel (unico)</t>
        </is>
      </c>
      <c r="J323" s="8" t="n">
        <v>0.3</v>
      </c>
      <c r="K323" s="10">
        <f>H323+J323</f>
        <v/>
      </c>
      <c r="L323" s="11" t="n">
        <v>0.48</v>
      </c>
      <c r="M323" s="10">
        <f>K323*(1+L323)</f>
        <v/>
      </c>
      <c r="N323" s="7" t="inlineStr">
        <is>
          <t>NOVO (Tabela Marfel V01JUN26)</t>
        </is>
      </c>
      <c r="O323" s="12" t="inlineStr">
        <is>
          <t>Sem custo cadastrado da Alquimia para esta gramatura — usado apenas o valor da Marfel.</t>
        </is>
      </c>
    </row>
    <row r="324">
      <c r="A324" s="6" t="inlineStr">
        <is>
          <t>Alça Vazada</t>
        </is>
      </c>
      <c r="B324" s="7" t="inlineStr">
        <is>
          <t>30x40</t>
        </is>
      </c>
      <c r="C324" s="7" t="inlineStr">
        <is>
          <t>0,10</t>
        </is>
      </c>
      <c r="D324" s="7" t="inlineStr">
        <is>
          <t>1000+</t>
        </is>
      </c>
      <c r="E324" s="7" t="n">
        <v>1000</v>
      </c>
      <c r="F324" s="8" t="n">
        <v>0.4104</v>
      </c>
      <c r="G324" s="8" t="n">
        <v>0</v>
      </c>
      <c r="H324" s="8" t="n">
        <v>0.4104</v>
      </c>
      <c r="I324" s="9" t="inlineStr">
        <is>
          <t>Marfel (unico)</t>
        </is>
      </c>
      <c r="J324" s="8" t="n">
        <v>0.3</v>
      </c>
      <c r="K324" s="10">
        <f>H324+J324</f>
        <v/>
      </c>
      <c r="L324" s="11" t="n">
        <v>0.4</v>
      </c>
      <c r="M324" s="10">
        <f>K324*(1+L324)</f>
        <v/>
      </c>
      <c r="N324" s="7" t="inlineStr">
        <is>
          <t>NOVO (Tabela Marfel V01JUN26)</t>
        </is>
      </c>
      <c r="O324" s="12" t="inlineStr">
        <is>
          <t>Sem custo cadastrado da Alquimia para esta gramatura — usado apenas o valor da Marfel.</t>
        </is>
      </c>
    </row>
    <row r="325">
      <c r="A325" s="6" t="inlineStr">
        <is>
          <t>Alça Vazada</t>
        </is>
      </c>
      <c r="B325" s="7" t="inlineStr">
        <is>
          <t>30x40</t>
        </is>
      </c>
      <c r="C325" s="7" t="inlineStr">
        <is>
          <t>0,12</t>
        </is>
      </c>
      <c r="D325" s="7" t="inlineStr">
        <is>
          <t>100–199</t>
        </is>
      </c>
      <c r="E325" s="7" t="n">
        <v>100</v>
      </c>
      <c r="F325" s="8" t="n">
        <v>0.49248</v>
      </c>
      <c r="G325" s="8" t="n">
        <v>0</v>
      </c>
      <c r="H325" s="8" t="n">
        <v>0.49248</v>
      </c>
      <c r="I325" s="9" t="inlineStr">
        <is>
          <t>Marfel (unico)</t>
        </is>
      </c>
      <c r="J325" s="8" t="n">
        <v>0.3</v>
      </c>
      <c r="K325" s="10">
        <f>H325+J325</f>
        <v/>
      </c>
      <c r="L325" s="11" t="n">
        <v>1</v>
      </c>
      <c r="M325" s="10">
        <f>K325*(1+L325)</f>
        <v/>
      </c>
      <c r="N325" s="7" t="inlineStr">
        <is>
          <t>NOVO (Tabela Marfel V01JUN26)</t>
        </is>
      </c>
      <c r="O325" s="12" t="inlineStr">
        <is>
          <t>Sem custo cadastrado da Alquimia para esta gramatura — usado apenas o valor da Marfel.</t>
        </is>
      </c>
    </row>
    <row r="326">
      <c r="A326" s="6" t="inlineStr">
        <is>
          <t>Alça Vazada</t>
        </is>
      </c>
      <c r="B326" s="7" t="inlineStr">
        <is>
          <t>30x40</t>
        </is>
      </c>
      <c r="C326" s="7" t="inlineStr">
        <is>
          <t>0,12</t>
        </is>
      </c>
      <c r="D326" s="7" t="inlineStr">
        <is>
          <t>200–299</t>
        </is>
      </c>
      <c r="E326" s="7" t="n">
        <v>200</v>
      </c>
      <c r="F326" s="8" t="n">
        <v>0.49248</v>
      </c>
      <c r="G326" s="8" t="n">
        <v>0</v>
      </c>
      <c r="H326" s="8" t="n">
        <v>0.49248</v>
      </c>
      <c r="I326" s="9" t="inlineStr">
        <is>
          <t>Marfel (unico)</t>
        </is>
      </c>
      <c r="J326" s="8" t="n">
        <v>0.3</v>
      </c>
      <c r="K326" s="10">
        <f>H326+J326</f>
        <v/>
      </c>
      <c r="L326" s="11" t="n">
        <v>0.75</v>
      </c>
      <c r="M326" s="10">
        <f>K326*(1+L326)</f>
        <v/>
      </c>
      <c r="N326" s="7" t="inlineStr">
        <is>
          <t>NOVO (Tabela Marfel V01JUN26)</t>
        </is>
      </c>
      <c r="O326" s="12" t="inlineStr">
        <is>
          <t>Sem custo cadastrado da Alquimia para esta gramatura — usado apenas o valor da Marfel.</t>
        </is>
      </c>
    </row>
    <row r="327">
      <c r="A327" s="6" t="inlineStr">
        <is>
          <t>Alça Vazada</t>
        </is>
      </c>
      <c r="B327" s="7" t="inlineStr">
        <is>
          <t>30x40</t>
        </is>
      </c>
      <c r="C327" s="7" t="inlineStr">
        <is>
          <t>0,12</t>
        </is>
      </c>
      <c r="D327" s="7" t="inlineStr">
        <is>
          <t>300–399</t>
        </is>
      </c>
      <c r="E327" s="7" t="n">
        <v>300</v>
      </c>
      <c r="F327" s="8" t="n">
        <v>0.49248</v>
      </c>
      <c r="G327" s="8" t="n">
        <v>0</v>
      </c>
      <c r="H327" s="8" t="n">
        <v>0.49248</v>
      </c>
      <c r="I327" s="9" t="inlineStr">
        <is>
          <t>Marfel (unico)</t>
        </is>
      </c>
      <c r="J327" s="8" t="n">
        <v>0.3</v>
      </c>
      <c r="K327" s="10">
        <f>H327+J327</f>
        <v/>
      </c>
      <c r="L327" s="11" t="n">
        <v>0.7</v>
      </c>
      <c r="M327" s="10">
        <f>K327*(1+L327)</f>
        <v/>
      </c>
      <c r="N327" s="7" t="inlineStr">
        <is>
          <t>NOVO (Tabela Marfel V01JUN26)</t>
        </is>
      </c>
      <c r="O327" s="12" t="inlineStr">
        <is>
          <t>Sem custo cadastrado da Alquimia para esta gramatura — usado apenas o valor da Marfel.</t>
        </is>
      </c>
    </row>
    <row r="328">
      <c r="A328" s="6" t="inlineStr">
        <is>
          <t>Alça Vazada</t>
        </is>
      </c>
      <c r="B328" s="7" t="inlineStr">
        <is>
          <t>30x40</t>
        </is>
      </c>
      <c r="C328" s="7" t="inlineStr">
        <is>
          <t>0,12</t>
        </is>
      </c>
      <c r="D328" s="7" t="inlineStr">
        <is>
          <t>400–499</t>
        </is>
      </c>
      <c r="E328" s="7" t="n">
        <v>400</v>
      </c>
      <c r="F328" s="8" t="n">
        <v>0.49248</v>
      </c>
      <c r="G328" s="8" t="n">
        <v>0</v>
      </c>
      <c r="H328" s="8" t="n">
        <v>0.49248</v>
      </c>
      <c r="I328" s="9" t="inlineStr">
        <is>
          <t>Marfel (unico)</t>
        </is>
      </c>
      <c r="J328" s="8" t="n">
        <v>0.3</v>
      </c>
      <c r="K328" s="10">
        <f>H328+J328</f>
        <v/>
      </c>
      <c r="L328" s="11" t="n">
        <v>0.65</v>
      </c>
      <c r="M328" s="10">
        <f>K328*(1+L328)</f>
        <v/>
      </c>
      <c r="N328" s="7" t="inlineStr">
        <is>
          <t>NOVO (Tabela Marfel V01JUN26)</t>
        </is>
      </c>
      <c r="O328" s="12" t="inlineStr">
        <is>
          <t>Sem custo cadastrado da Alquimia para esta gramatura — usado apenas o valor da Marfel.</t>
        </is>
      </c>
    </row>
    <row r="329">
      <c r="A329" s="6" t="inlineStr">
        <is>
          <t>Alça Vazada</t>
        </is>
      </c>
      <c r="B329" s="7" t="inlineStr">
        <is>
          <t>30x40</t>
        </is>
      </c>
      <c r="C329" s="7" t="inlineStr">
        <is>
          <t>0,12</t>
        </is>
      </c>
      <c r="D329" s="7" t="inlineStr">
        <is>
          <t>500–599</t>
        </is>
      </c>
      <c r="E329" s="7" t="n">
        <v>500</v>
      </c>
      <c r="F329" s="8" t="n">
        <v>0.49248</v>
      </c>
      <c r="G329" s="8" t="n">
        <v>0</v>
      </c>
      <c r="H329" s="8" t="n">
        <v>0.49248</v>
      </c>
      <c r="I329" s="9" t="inlineStr">
        <is>
          <t>Marfel (unico)</t>
        </is>
      </c>
      <c r="J329" s="8" t="n">
        <v>0.3</v>
      </c>
      <c r="K329" s="10">
        <f>H329+J329</f>
        <v/>
      </c>
      <c r="L329" s="11" t="n">
        <v>0.6</v>
      </c>
      <c r="M329" s="10">
        <f>K329*(1+L329)</f>
        <v/>
      </c>
      <c r="N329" s="7" t="inlineStr">
        <is>
          <t>NOVO (Tabela Marfel V01JUN26)</t>
        </is>
      </c>
      <c r="O329" s="12" t="inlineStr">
        <is>
          <t>Sem custo cadastrado da Alquimia para esta gramatura — usado apenas o valor da Marfel.</t>
        </is>
      </c>
    </row>
    <row r="330">
      <c r="A330" s="6" t="inlineStr">
        <is>
          <t>Alça Vazada</t>
        </is>
      </c>
      <c r="B330" s="7" t="inlineStr">
        <is>
          <t>30x40</t>
        </is>
      </c>
      <c r="C330" s="7" t="inlineStr">
        <is>
          <t>0,12</t>
        </is>
      </c>
      <c r="D330" s="7" t="inlineStr">
        <is>
          <t>600–699</t>
        </is>
      </c>
      <c r="E330" s="7" t="n">
        <v>600</v>
      </c>
      <c r="F330" s="8" t="n">
        <v>0.49248</v>
      </c>
      <c r="G330" s="8" t="n">
        <v>0</v>
      </c>
      <c r="H330" s="8" t="n">
        <v>0.49248</v>
      </c>
      <c r="I330" s="9" t="inlineStr">
        <is>
          <t>Marfel (unico)</t>
        </is>
      </c>
      <c r="J330" s="8" t="n">
        <v>0.3</v>
      </c>
      <c r="K330" s="10">
        <f>H330+J330</f>
        <v/>
      </c>
      <c r="L330" s="11" t="n">
        <v>0.57</v>
      </c>
      <c r="M330" s="10">
        <f>K330*(1+L330)</f>
        <v/>
      </c>
      <c r="N330" s="7" t="inlineStr">
        <is>
          <t>NOVO (Tabela Marfel V01JUN26)</t>
        </is>
      </c>
      <c r="O330" s="12" t="inlineStr">
        <is>
          <t>Sem custo cadastrado da Alquimia para esta gramatura — usado apenas o valor da Marfel.</t>
        </is>
      </c>
    </row>
    <row r="331">
      <c r="A331" s="6" t="inlineStr">
        <is>
          <t>Alça Vazada</t>
        </is>
      </c>
      <c r="B331" s="7" t="inlineStr">
        <is>
          <t>30x40</t>
        </is>
      </c>
      <c r="C331" s="7" t="inlineStr">
        <is>
          <t>0,12</t>
        </is>
      </c>
      <c r="D331" s="7" t="inlineStr">
        <is>
          <t>700–799</t>
        </is>
      </c>
      <c r="E331" s="7" t="n">
        <v>700</v>
      </c>
      <c r="F331" s="8" t="n">
        <v>0.49248</v>
      </c>
      <c r="G331" s="8" t="n">
        <v>0</v>
      </c>
      <c r="H331" s="8" t="n">
        <v>0.49248</v>
      </c>
      <c r="I331" s="9" t="inlineStr">
        <is>
          <t>Marfel (unico)</t>
        </is>
      </c>
      <c r="J331" s="8" t="n">
        <v>0.3</v>
      </c>
      <c r="K331" s="10">
        <f>H331+J331</f>
        <v/>
      </c>
      <c r="L331" s="11" t="n">
        <v>0.54</v>
      </c>
      <c r="M331" s="10">
        <f>K331*(1+L331)</f>
        <v/>
      </c>
      <c r="N331" s="7" t="inlineStr">
        <is>
          <t>NOVO (Tabela Marfel V01JUN26)</t>
        </is>
      </c>
      <c r="O331" s="12" t="inlineStr">
        <is>
          <t>Sem custo cadastrado da Alquimia para esta gramatura — usado apenas o valor da Marfel.</t>
        </is>
      </c>
    </row>
    <row r="332">
      <c r="A332" s="6" t="inlineStr">
        <is>
          <t>Alça Vazada</t>
        </is>
      </c>
      <c r="B332" s="7" t="inlineStr">
        <is>
          <t>30x40</t>
        </is>
      </c>
      <c r="C332" s="7" t="inlineStr">
        <is>
          <t>0,12</t>
        </is>
      </c>
      <c r="D332" s="7" t="inlineStr">
        <is>
          <t>800–899</t>
        </is>
      </c>
      <c r="E332" s="7" t="n">
        <v>800</v>
      </c>
      <c r="F332" s="8" t="n">
        <v>0.49248</v>
      </c>
      <c r="G332" s="8" t="n">
        <v>0</v>
      </c>
      <c r="H332" s="8" t="n">
        <v>0.49248</v>
      </c>
      <c r="I332" s="9" t="inlineStr">
        <is>
          <t>Marfel (unico)</t>
        </is>
      </c>
      <c r="J332" s="8" t="n">
        <v>0.3</v>
      </c>
      <c r="K332" s="10">
        <f>H332+J332</f>
        <v/>
      </c>
      <c r="L332" s="11" t="n">
        <v>0.51</v>
      </c>
      <c r="M332" s="10">
        <f>K332*(1+L332)</f>
        <v/>
      </c>
      <c r="N332" s="7" t="inlineStr">
        <is>
          <t>NOVO (Tabela Marfel V01JUN26)</t>
        </is>
      </c>
      <c r="O332" s="12" t="inlineStr">
        <is>
          <t>Sem custo cadastrado da Alquimia para esta gramatura — usado apenas o valor da Marfel.</t>
        </is>
      </c>
    </row>
    <row r="333">
      <c r="A333" s="6" t="inlineStr">
        <is>
          <t>Alça Vazada</t>
        </is>
      </c>
      <c r="B333" s="7" t="inlineStr">
        <is>
          <t>30x40</t>
        </is>
      </c>
      <c r="C333" s="7" t="inlineStr">
        <is>
          <t>0,12</t>
        </is>
      </c>
      <c r="D333" s="7" t="inlineStr">
        <is>
          <t>900–999</t>
        </is>
      </c>
      <c r="E333" s="7" t="n">
        <v>900</v>
      </c>
      <c r="F333" s="8" t="n">
        <v>0.49248</v>
      </c>
      <c r="G333" s="8" t="n">
        <v>0</v>
      </c>
      <c r="H333" s="8" t="n">
        <v>0.49248</v>
      </c>
      <c r="I333" s="9" t="inlineStr">
        <is>
          <t>Marfel (unico)</t>
        </is>
      </c>
      <c r="J333" s="8" t="n">
        <v>0.3</v>
      </c>
      <c r="K333" s="10">
        <f>H333+J333</f>
        <v/>
      </c>
      <c r="L333" s="11" t="n">
        <v>0.48</v>
      </c>
      <c r="M333" s="10">
        <f>K333*(1+L333)</f>
        <v/>
      </c>
      <c r="N333" s="7" t="inlineStr">
        <is>
          <t>NOVO (Tabela Marfel V01JUN26)</t>
        </is>
      </c>
      <c r="O333" s="12" t="inlineStr">
        <is>
          <t>Sem custo cadastrado da Alquimia para esta gramatura — usado apenas o valor da Marfel.</t>
        </is>
      </c>
    </row>
    <row r="334">
      <c r="A334" s="6" t="inlineStr">
        <is>
          <t>Alça Vazada</t>
        </is>
      </c>
      <c r="B334" s="7" t="inlineStr">
        <is>
          <t>30x40</t>
        </is>
      </c>
      <c r="C334" s="7" t="inlineStr">
        <is>
          <t>0,12</t>
        </is>
      </c>
      <c r="D334" s="7" t="inlineStr">
        <is>
          <t>1000+</t>
        </is>
      </c>
      <c r="E334" s="7" t="n">
        <v>1000</v>
      </c>
      <c r="F334" s="8" t="n">
        <v>0.49248</v>
      </c>
      <c r="G334" s="8" t="n">
        <v>0</v>
      </c>
      <c r="H334" s="8" t="n">
        <v>0.49248</v>
      </c>
      <c r="I334" s="9" t="inlineStr">
        <is>
          <t>Marfel (unico)</t>
        </is>
      </c>
      <c r="J334" s="8" t="n">
        <v>0.3</v>
      </c>
      <c r="K334" s="10">
        <f>H334+J334</f>
        <v/>
      </c>
      <c r="L334" s="11" t="n">
        <v>0.4</v>
      </c>
      <c r="M334" s="10">
        <f>K334*(1+L334)</f>
        <v/>
      </c>
      <c r="N334" s="7" t="inlineStr">
        <is>
          <t>NOVO (Tabela Marfel V01JUN26)</t>
        </is>
      </c>
      <c r="O334" s="12" t="inlineStr">
        <is>
          <t>Sem custo cadastrado da Alquimia para esta gramatura — usado apenas o valor da Marfel.</t>
        </is>
      </c>
    </row>
    <row r="335">
      <c r="A335" s="6" t="inlineStr">
        <is>
          <t>Alça Vazada</t>
        </is>
      </c>
      <c r="B335" s="7" t="inlineStr">
        <is>
          <t>36x48</t>
        </is>
      </c>
      <c r="C335" s="7" t="inlineStr">
        <is>
          <t>0,06</t>
        </is>
      </c>
      <c r="D335" s="7" t="inlineStr">
        <is>
          <t>100–199</t>
        </is>
      </c>
      <c r="E335" s="7" t="n">
        <v>100</v>
      </c>
      <c r="F335" s="8" t="n">
        <v>0.3591</v>
      </c>
      <c r="G335" s="8" t="n">
        <v>0</v>
      </c>
      <c r="H335" s="8" t="n">
        <v>0.3591</v>
      </c>
      <c r="I335" s="9" t="inlineStr">
        <is>
          <t>Marfel (unico)</t>
        </is>
      </c>
      <c r="J335" s="8" t="n">
        <v>0.3</v>
      </c>
      <c r="K335" s="10">
        <f>H335+J335</f>
        <v/>
      </c>
      <c r="L335" s="11" t="n">
        <v>1</v>
      </c>
      <c r="M335" s="10">
        <f>K335*(1+L335)</f>
        <v/>
      </c>
      <c r="N335" s="7" t="inlineStr">
        <is>
          <t>NOVO (Tabela Marfel V01JUN26)</t>
        </is>
      </c>
      <c r="O335" s="12" t="inlineStr">
        <is>
          <t>Sem custo cadastrado da Alquimia para esta gramatura — usado apenas o valor da Marfel.</t>
        </is>
      </c>
    </row>
    <row r="336">
      <c r="A336" s="6" t="inlineStr">
        <is>
          <t>Alça Vazada</t>
        </is>
      </c>
      <c r="B336" s="7" t="inlineStr">
        <is>
          <t>36x48</t>
        </is>
      </c>
      <c r="C336" s="7" t="inlineStr">
        <is>
          <t>0,06</t>
        </is>
      </c>
      <c r="D336" s="7" t="inlineStr">
        <is>
          <t>200–299</t>
        </is>
      </c>
      <c r="E336" s="7" t="n">
        <v>200</v>
      </c>
      <c r="F336" s="8" t="n">
        <v>0.3591</v>
      </c>
      <c r="G336" s="8" t="n">
        <v>0</v>
      </c>
      <c r="H336" s="8" t="n">
        <v>0.3591</v>
      </c>
      <c r="I336" s="9" t="inlineStr">
        <is>
          <t>Marfel (unico)</t>
        </is>
      </c>
      <c r="J336" s="8" t="n">
        <v>0.3</v>
      </c>
      <c r="K336" s="10">
        <f>H336+J336</f>
        <v/>
      </c>
      <c r="L336" s="11" t="n">
        <v>0.75</v>
      </c>
      <c r="M336" s="10">
        <f>K336*(1+L336)</f>
        <v/>
      </c>
      <c r="N336" s="7" t="inlineStr">
        <is>
          <t>NOVO (Tabela Marfel V01JUN26)</t>
        </is>
      </c>
      <c r="O336" s="12" t="inlineStr">
        <is>
          <t>Sem custo cadastrado da Alquimia para esta gramatura — usado apenas o valor da Marfel.</t>
        </is>
      </c>
    </row>
    <row r="337">
      <c r="A337" s="6" t="inlineStr">
        <is>
          <t>Alça Vazada</t>
        </is>
      </c>
      <c r="B337" s="7" t="inlineStr">
        <is>
          <t>36x48</t>
        </is>
      </c>
      <c r="C337" s="7" t="inlineStr">
        <is>
          <t>0,06</t>
        </is>
      </c>
      <c r="D337" s="7" t="inlineStr">
        <is>
          <t>300–399</t>
        </is>
      </c>
      <c r="E337" s="7" t="n">
        <v>300</v>
      </c>
      <c r="F337" s="8" t="n">
        <v>0.3591</v>
      </c>
      <c r="G337" s="8" t="n">
        <v>0</v>
      </c>
      <c r="H337" s="8" t="n">
        <v>0.3591</v>
      </c>
      <c r="I337" s="9" t="inlineStr">
        <is>
          <t>Marfel (unico)</t>
        </is>
      </c>
      <c r="J337" s="8" t="n">
        <v>0.3</v>
      </c>
      <c r="K337" s="10">
        <f>H337+J337</f>
        <v/>
      </c>
      <c r="L337" s="11" t="n">
        <v>0.7</v>
      </c>
      <c r="M337" s="10">
        <f>K337*(1+L337)</f>
        <v/>
      </c>
      <c r="N337" s="7" t="inlineStr">
        <is>
          <t>NOVO (Tabela Marfel V01JUN26)</t>
        </is>
      </c>
      <c r="O337" s="12" t="inlineStr">
        <is>
          <t>Sem custo cadastrado da Alquimia para esta gramatura — usado apenas o valor da Marfel.</t>
        </is>
      </c>
    </row>
    <row r="338">
      <c r="A338" s="6" t="inlineStr">
        <is>
          <t>Alça Vazada</t>
        </is>
      </c>
      <c r="B338" s="7" t="inlineStr">
        <is>
          <t>36x48</t>
        </is>
      </c>
      <c r="C338" s="7" t="inlineStr">
        <is>
          <t>0,06</t>
        </is>
      </c>
      <c r="D338" s="7" t="inlineStr">
        <is>
          <t>400–499</t>
        </is>
      </c>
      <c r="E338" s="7" t="n">
        <v>400</v>
      </c>
      <c r="F338" s="8" t="n">
        <v>0.3591</v>
      </c>
      <c r="G338" s="8" t="n">
        <v>0</v>
      </c>
      <c r="H338" s="8" t="n">
        <v>0.3591</v>
      </c>
      <c r="I338" s="9" t="inlineStr">
        <is>
          <t>Marfel (unico)</t>
        </is>
      </c>
      <c r="J338" s="8" t="n">
        <v>0.3</v>
      </c>
      <c r="K338" s="10">
        <f>H338+J338</f>
        <v/>
      </c>
      <c r="L338" s="11" t="n">
        <v>0.65</v>
      </c>
      <c r="M338" s="10">
        <f>K338*(1+L338)</f>
        <v/>
      </c>
      <c r="N338" s="7" t="inlineStr">
        <is>
          <t>NOVO (Tabela Marfel V01JUN26)</t>
        </is>
      </c>
      <c r="O338" s="12" t="inlineStr">
        <is>
          <t>Sem custo cadastrado da Alquimia para esta gramatura — usado apenas o valor da Marfel.</t>
        </is>
      </c>
    </row>
    <row r="339">
      <c r="A339" s="6" t="inlineStr">
        <is>
          <t>Alça Vazada</t>
        </is>
      </c>
      <c r="B339" s="7" t="inlineStr">
        <is>
          <t>36x48</t>
        </is>
      </c>
      <c r="C339" s="7" t="inlineStr">
        <is>
          <t>0,06</t>
        </is>
      </c>
      <c r="D339" s="7" t="inlineStr">
        <is>
          <t>500–599</t>
        </is>
      </c>
      <c r="E339" s="7" t="n">
        <v>500</v>
      </c>
      <c r="F339" s="8" t="n">
        <v>0.3591</v>
      </c>
      <c r="G339" s="8" t="n">
        <v>0</v>
      </c>
      <c r="H339" s="8" t="n">
        <v>0.3591</v>
      </c>
      <c r="I339" s="9" t="inlineStr">
        <is>
          <t>Marfel (unico)</t>
        </is>
      </c>
      <c r="J339" s="8" t="n">
        <v>0.3</v>
      </c>
      <c r="K339" s="10">
        <f>H339+J339</f>
        <v/>
      </c>
      <c r="L339" s="11" t="n">
        <v>0.6</v>
      </c>
      <c r="M339" s="10">
        <f>K339*(1+L339)</f>
        <v/>
      </c>
      <c r="N339" s="7" t="inlineStr">
        <is>
          <t>NOVO (Tabela Marfel V01JUN26)</t>
        </is>
      </c>
      <c r="O339" s="12" t="inlineStr">
        <is>
          <t>Sem custo cadastrado da Alquimia para esta gramatura — usado apenas o valor da Marfel.</t>
        </is>
      </c>
    </row>
    <row r="340">
      <c r="A340" s="6" t="inlineStr">
        <is>
          <t>Alça Vazada</t>
        </is>
      </c>
      <c r="B340" s="7" t="inlineStr">
        <is>
          <t>36x48</t>
        </is>
      </c>
      <c r="C340" s="7" t="inlineStr">
        <is>
          <t>0,06</t>
        </is>
      </c>
      <c r="D340" s="7" t="inlineStr">
        <is>
          <t>600–699</t>
        </is>
      </c>
      <c r="E340" s="7" t="n">
        <v>600</v>
      </c>
      <c r="F340" s="8" t="n">
        <v>0.3591</v>
      </c>
      <c r="G340" s="8" t="n">
        <v>0</v>
      </c>
      <c r="H340" s="8" t="n">
        <v>0.3591</v>
      </c>
      <c r="I340" s="9" t="inlineStr">
        <is>
          <t>Marfel (unico)</t>
        </is>
      </c>
      <c r="J340" s="8" t="n">
        <v>0.3</v>
      </c>
      <c r="K340" s="10">
        <f>H340+J340</f>
        <v/>
      </c>
      <c r="L340" s="11" t="n">
        <v>0.57</v>
      </c>
      <c r="M340" s="10">
        <f>K340*(1+L340)</f>
        <v/>
      </c>
      <c r="N340" s="7" t="inlineStr">
        <is>
          <t>NOVO (Tabela Marfel V01JUN26)</t>
        </is>
      </c>
      <c r="O340" s="12" t="inlineStr">
        <is>
          <t>Sem custo cadastrado da Alquimia para esta gramatura — usado apenas o valor da Marfel.</t>
        </is>
      </c>
    </row>
    <row r="341">
      <c r="A341" s="6" t="inlineStr">
        <is>
          <t>Alça Vazada</t>
        </is>
      </c>
      <c r="B341" s="7" t="inlineStr">
        <is>
          <t>36x48</t>
        </is>
      </c>
      <c r="C341" s="7" t="inlineStr">
        <is>
          <t>0,06</t>
        </is>
      </c>
      <c r="D341" s="7" t="inlineStr">
        <is>
          <t>700–799</t>
        </is>
      </c>
      <c r="E341" s="7" t="n">
        <v>700</v>
      </c>
      <c r="F341" s="8" t="n">
        <v>0.3591</v>
      </c>
      <c r="G341" s="8" t="n">
        <v>0</v>
      </c>
      <c r="H341" s="8" t="n">
        <v>0.3591</v>
      </c>
      <c r="I341" s="9" t="inlineStr">
        <is>
          <t>Marfel (unico)</t>
        </is>
      </c>
      <c r="J341" s="8" t="n">
        <v>0.3</v>
      </c>
      <c r="K341" s="10">
        <f>H341+J341</f>
        <v/>
      </c>
      <c r="L341" s="11" t="n">
        <v>0.54</v>
      </c>
      <c r="M341" s="10">
        <f>K341*(1+L341)</f>
        <v/>
      </c>
      <c r="N341" s="7" t="inlineStr">
        <is>
          <t>NOVO (Tabela Marfel V01JUN26)</t>
        </is>
      </c>
      <c r="O341" s="12" t="inlineStr">
        <is>
          <t>Sem custo cadastrado da Alquimia para esta gramatura — usado apenas o valor da Marfel.</t>
        </is>
      </c>
    </row>
    <row r="342">
      <c r="A342" s="6" t="inlineStr">
        <is>
          <t>Alça Vazada</t>
        </is>
      </c>
      <c r="B342" s="7" t="inlineStr">
        <is>
          <t>36x48</t>
        </is>
      </c>
      <c r="C342" s="7" t="inlineStr">
        <is>
          <t>0,06</t>
        </is>
      </c>
      <c r="D342" s="7" t="inlineStr">
        <is>
          <t>800–899</t>
        </is>
      </c>
      <c r="E342" s="7" t="n">
        <v>800</v>
      </c>
      <c r="F342" s="8" t="n">
        <v>0.3591</v>
      </c>
      <c r="G342" s="8" t="n">
        <v>0</v>
      </c>
      <c r="H342" s="8" t="n">
        <v>0.3591</v>
      </c>
      <c r="I342" s="9" t="inlineStr">
        <is>
          <t>Marfel (unico)</t>
        </is>
      </c>
      <c r="J342" s="8" t="n">
        <v>0.3</v>
      </c>
      <c r="K342" s="10">
        <f>H342+J342</f>
        <v/>
      </c>
      <c r="L342" s="11" t="n">
        <v>0.51</v>
      </c>
      <c r="M342" s="10">
        <f>K342*(1+L342)</f>
        <v/>
      </c>
      <c r="N342" s="7" t="inlineStr">
        <is>
          <t>NOVO (Tabela Marfel V01JUN26)</t>
        </is>
      </c>
      <c r="O342" s="12" t="inlineStr">
        <is>
          <t>Sem custo cadastrado da Alquimia para esta gramatura — usado apenas o valor da Marfel.</t>
        </is>
      </c>
    </row>
    <row r="343">
      <c r="A343" s="6" t="inlineStr">
        <is>
          <t>Alça Vazada</t>
        </is>
      </c>
      <c r="B343" s="7" t="inlineStr">
        <is>
          <t>36x48</t>
        </is>
      </c>
      <c r="C343" s="7" t="inlineStr">
        <is>
          <t>0,06</t>
        </is>
      </c>
      <c r="D343" s="7" t="inlineStr">
        <is>
          <t>900–999</t>
        </is>
      </c>
      <c r="E343" s="7" t="n">
        <v>900</v>
      </c>
      <c r="F343" s="8" t="n">
        <v>0.3591</v>
      </c>
      <c r="G343" s="8" t="n">
        <v>0</v>
      </c>
      <c r="H343" s="8" t="n">
        <v>0.3591</v>
      </c>
      <c r="I343" s="9" t="inlineStr">
        <is>
          <t>Marfel (unico)</t>
        </is>
      </c>
      <c r="J343" s="8" t="n">
        <v>0.3</v>
      </c>
      <c r="K343" s="10">
        <f>H343+J343</f>
        <v/>
      </c>
      <c r="L343" s="11" t="n">
        <v>0.48</v>
      </c>
      <c r="M343" s="10">
        <f>K343*(1+L343)</f>
        <v/>
      </c>
      <c r="N343" s="7" t="inlineStr">
        <is>
          <t>NOVO (Tabela Marfel V01JUN26)</t>
        </is>
      </c>
      <c r="O343" s="12" t="inlineStr">
        <is>
          <t>Sem custo cadastrado da Alquimia para esta gramatura — usado apenas o valor da Marfel.</t>
        </is>
      </c>
    </row>
    <row r="344">
      <c r="A344" s="6" t="inlineStr">
        <is>
          <t>Alça Vazada</t>
        </is>
      </c>
      <c r="B344" s="7" t="inlineStr">
        <is>
          <t>36x48</t>
        </is>
      </c>
      <c r="C344" s="7" t="inlineStr">
        <is>
          <t>0,06</t>
        </is>
      </c>
      <c r="D344" s="7" t="inlineStr">
        <is>
          <t>1000+</t>
        </is>
      </c>
      <c r="E344" s="7" t="n">
        <v>1000</v>
      </c>
      <c r="F344" s="8" t="n">
        <v>0.3591</v>
      </c>
      <c r="G344" s="8" t="n">
        <v>0</v>
      </c>
      <c r="H344" s="8" t="n">
        <v>0.3591</v>
      </c>
      <c r="I344" s="9" t="inlineStr">
        <is>
          <t>Marfel (unico)</t>
        </is>
      </c>
      <c r="J344" s="8" t="n">
        <v>0.3</v>
      </c>
      <c r="K344" s="10">
        <f>H344+J344</f>
        <v/>
      </c>
      <c r="L344" s="11" t="n">
        <v>0.4</v>
      </c>
      <c r="M344" s="10">
        <f>K344*(1+L344)</f>
        <v/>
      </c>
      <c r="N344" s="7" t="inlineStr">
        <is>
          <t>NOVO (Tabela Marfel V01JUN26)</t>
        </is>
      </c>
      <c r="O344" s="12" t="inlineStr">
        <is>
          <t>Sem custo cadastrado da Alquimia para esta gramatura — usado apenas o valor da Marfel.</t>
        </is>
      </c>
    </row>
    <row r="345">
      <c r="A345" s="6" t="inlineStr">
        <is>
          <t>Alça Vazada</t>
        </is>
      </c>
      <c r="B345" s="7" t="inlineStr">
        <is>
          <t>36x48</t>
        </is>
      </c>
      <c r="C345" s="7" t="inlineStr">
        <is>
          <t>0,09</t>
        </is>
      </c>
      <c r="D345" s="7" t="inlineStr">
        <is>
          <t>100–199</t>
        </is>
      </c>
      <c r="E345" s="7" t="n">
        <v>100</v>
      </c>
      <c r="F345" s="8" t="n">
        <v>0.5403600000000001</v>
      </c>
      <c r="G345" s="8" t="n">
        <v>0</v>
      </c>
      <c r="H345" s="8" t="n">
        <v>0.5403600000000001</v>
      </c>
      <c r="I345" s="9" t="inlineStr">
        <is>
          <t>Marfel (unico)</t>
        </is>
      </c>
      <c r="J345" s="8" t="n">
        <v>0.3</v>
      </c>
      <c r="K345" s="10">
        <f>H345+J345</f>
        <v/>
      </c>
      <c r="L345" s="11" t="n">
        <v>1</v>
      </c>
      <c r="M345" s="10">
        <f>K345*(1+L345)</f>
        <v/>
      </c>
      <c r="N345" s="7" t="inlineStr">
        <is>
          <t>NOVO (Tabela Marfel V01JUN26)</t>
        </is>
      </c>
      <c r="O345" s="12" t="inlineStr">
        <is>
          <t>Sem custo cadastrado da Alquimia para esta gramatura — usado apenas o valor da Marfel.</t>
        </is>
      </c>
    </row>
    <row r="346">
      <c r="A346" s="6" t="inlineStr">
        <is>
          <t>Alça Vazada</t>
        </is>
      </c>
      <c r="B346" s="7" t="inlineStr">
        <is>
          <t>36x48</t>
        </is>
      </c>
      <c r="C346" s="7" t="inlineStr">
        <is>
          <t>0,09</t>
        </is>
      </c>
      <c r="D346" s="7" t="inlineStr">
        <is>
          <t>200–299</t>
        </is>
      </c>
      <c r="E346" s="7" t="n">
        <v>200</v>
      </c>
      <c r="F346" s="8" t="n">
        <v>0.5403600000000001</v>
      </c>
      <c r="G346" s="8" t="n">
        <v>0</v>
      </c>
      <c r="H346" s="8" t="n">
        <v>0.5403600000000001</v>
      </c>
      <c r="I346" s="9" t="inlineStr">
        <is>
          <t>Marfel (unico)</t>
        </is>
      </c>
      <c r="J346" s="8" t="n">
        <v>0.3</v>
      </c>
      <c r="K346" s="10">
        <f>H346+J346</f>
        <v/>
      </c>
      <c r="L346" s="11" t="n">
        <v>0.75</v>
      </c>
      <c r="M346" s="10">
        <f>K346*(1+L346)</f>
        <v/>
      </c>
      <c r="N346" s="7" t="inlineStr">
        <is>
          <t>NOVO (Tabela Marfel V01JUN26)</t>
        </is>
      </c>
      <c r="O346" s="12" t="inlineStr">
        <is>
          <t>Sem custo cadastrado da Alquimia para esta gramatura — usado apenas o valor da Marfel.</t>
        </is>
      </c>
    </row>
    <row r="347">
      <c r="A347" s="6" t="inlineStr">
        <is>
          <t>Alça Vazada</t>
        </is>
      </c>
      <c r="B347" s="7" t="inlineStr">
        <is>
          <t>36x48</t>
        </is>
      </c>
      <c r="C347" s="7" t="inlineStr">
        <is>
          <t>0,09</t>
        </is>
      </c>
      <c r="D347" s="7" t="inlineStr">
        <is>
          <t>300–399</t>
        </is>
      </c>
      <c r="E347" s="7" t="n">
        <v>300</v>
      </c>
      <c r="F347" s="8" t="n">
        <v>0.5403600000000001</v>
      </c>
      <c r="G347" s="8" t="n">
        <v>0</v>
      </c>
      <c r="H347" s="8" t="n">
        <v>0.5403600000000001</v>
      </c>
      <c r="I347" s="9" t="inlineStr">
        <is>
          <t>Marfel (unico)</t>
        </is>
      </c>
      <c r="J347" s="8" t="n">
        <v>0.3</v>
      </c>
      <c r="K347" s="10">
        <f>H347+J347</f>
        <v/>
      </c>
      <c r="L347" s="11" t="n">
        <v>0.7</v>
      </c>
      <c r="M347" s="10">
        <f>K347*(1+L347)</f>
        <v/>
      </c>
      <c r="N347" s="7" t="inlineStr">
        <is>
          <t>NOVO (Tabela Marfel V01JUN26)</t>
        </is>
      </c>
      <c r="O347" s="12" t="inlineStr">
        <is>
          <t>Sem custo cadastrado da Alquimia para esta gramatura — usado apenas o valor da Marfel.</t>
        </is>
      </c>
    </row>
    <row r="348">
      <c r="A348" s="6" t="inlineStr">
        <is>
          <t>Alça Vazada</t>
        </is>
      </c>
      <c r="B348" s="7" t="inlineStr">
        <is>
          <t>36x48</t>
        </is>
      </c>
      <c r="C348" s="7" t="inlineStr">
        <is>
          <t>0,09</t>
        </is>
      </c>
      <c r="D348" s="7" t="inlineStr">
        <is>
          <t>400–499</t>
        </is>
      </c>
      <c r="E348" s="7" t="n">
        <v>400</v>
      </c>
      <c r="F348" s="8" t="n">
        <v>0.5403600000000001</v>
      </c>
      <c r="G348" s="8" t="n">
        <v>0</v>
      </c>
      <c r="H348" s="8" t="n">
        <v>0.5403600000000001</v>
      </c>
      <c r="I348" s="9" t="inlineStr">
        <is>
          <t>Marfel (unico)</t>
        </is>
      </c>
      <c r="J348" s="8" t="n">
        <v>0.3</v>
      </c>
      <c r="K348" s="10">
        <f>H348+J348</f>
        <v/>
      </c>
      <c r="L348" s="11" t="n">
        <v>0.65</v>
      </c>
      <c r="M348" s="10">
        <f>K348*(1+L348)</f>
        <v/>
      </c>
      <c r="N348" s="7" t="inlineStr">
        <is>
          <t>NOVO (Tabela Marfel V01JUN26)</t>
        </is>
      </c>
      <c r="O348" s="12" t="inlineStr">
        <is>
          <t>Sem custo cadastrado da Alquimia para esta gramatura — usado apenas o valor da Marfel.</t>
        </is>
      </c>
    </row>
    <row r="349">
      <c r="A349" s="6" t="inlineStr">
        <is>
          <t>Alça Vazada</t>
        </is>
      </c>
      <c r="B349" s="7" t="inlineStr">
        <is>
          <t>36x48</t>
        </is>
      </c>
      <c r="C349" s="7" t="inlineStr">
        <is>
          <t>0,09</t>
        </is>
      </c>
      <c r="D349" s="7" t="inlineStr">
        <is>
          <t>500–599</t>
        </is>
      </c>
      <c r="E349" s="7" t="n">
        <v>500</v>
      </c>
      <c r="F349" s="8" t="n">
        <v>0.5403600000000001</v>
      </c>
      <c r="G349" s="8" t="n">
        <v>0</v>
      </c>
      <c r="H349" s="8" t="n">
        <v>0.5403600000000001</v>
      </c>
      <c r="I349" s="9" t="inlineStr">
        <is>
          <t>Marfel (unico)</t>
        </is>
      </c>
      <c r="J349" s="8" t="n">
        <v>0.3</v>
      </c>
      <c r="K349" s="10">
        <f>H349+J349</f>
        <v/>
      </c>
      <c r="L349" s="11" t="n">
        <v>0.6</v>
      </c>
      <c r="M349" s="10">
        <f>K349*(1+L349)</f>
        <v/>
      </c>
      <c r="N349" s="7" t="inlineStr">
        <is>
          <t>NOVO (Tabela Marfel V01JUN26)</t>
        </is>
      </c>
      <c r="O349" s="12" t="inlineStr">
        <is>
          <t>Sem custo cadastrado da Alquimia para esta gramatura — usado apenas o valor da Marfel.</t>
        </is>
      </c>
    </row>
    <row r="350">
      <c r="A350" s="6" t="inlineStr">
        <is>
          <t>Alça Vazada</t>
        </is>
      </c>
      <c r="B350" s="7" t="inlineStr">
        <is>
          <t>36x48</t>
        </is>
      </c>
      <c r="C350" s="7" t="inlineStr">
        <is>
          <t>0,09</t>
        </is>
      </c>
      <c r="D350" s="7" t="inlineStr">
        <is>
          <t>600–699</t>
        </is>
      </c>
      <c r="E350" s="7" t="n">
        <v>600</v>
      </c>
      <c r="F350" s="8" t="n">
        <v>0.5403600000000001</v>
      </c>
      <c r="G350" s="8" t="n">
        <v>0</v>
      </c>
      <c r="H350" s="8" t="n">
        <v>0.5403600000000001</v>
      </c>
      <c r="I350" s="9" t="inlineStr">
        <is>
          <t>Marfel (unico)</t>
        </is>
      </c>
      <c r="J350" s="8" t="n">
        <v>0.3</v>
      </c>
      <c r="K350" s="10">
        <f>H350+J350</f>
        <v/>
      </c>
      <c r="L350" s="11" t="n">
        <v>0.57</v>
      </c>
      <c r="M350" s="10">
        <f>K350*(1+L350)</f>
        <v/>
      </c>
      <c r="N350" s="7" t="inlineStr">
        <is>
          <t>NOVO (Tabela Marfel V01JUN26)</t>
        </is>
      </c>
      <c r="O350" s="12" t="inlineStr">
        <is>
          <t>Sem custo cadastrado da Alquimia para esta gramatura — usado apenas o valor da Marfel.</t>
        </is>
      </c>
    </row>
    <row r="351">
      <c r="A351" s="6" t="inlineStr">
        <is>
          <t>Alça Vazada</t>
        </is>
      </c>
      <c r="B351" s="7" t="inlineStr">
        <is>
          <t>36x48</t>
        </is>
      </c>
      <c r="C351" s="7" t="inlineStr">
        <is>
          <t>0,09</t>
        </is>
      </c>
      <c r="D351" s="7" t="inlineStr">
        <is>
          <t>700–799</t>
        </is>
      </c>
      <c r="E351" s="7" t="n">
        <v>700</v>
      </c>
      <c r="F351" s="8" t="n">
        <v>0.5403600000000001</v>
      </c>
      <c r="G351" s="8" t="n">
        <v>0</v>
      </c>
      <c r="H351" s="8" t="n">
        <v>0.5403600000000001</v>
      </c>
      <c r="I351" s="9" t="inlineStr">
        <is>
          <t>Marfel (unico)</t>
        </is>
      </c>
      <c r="J351" s="8" t="n">
        <v>0.3</v>
      </c>
      <c r="K351" s="10">
        <f>H351+J351</f>
        <v/>
      </c>
      <c r="L351" s="11" t="n">
        <v>0.54</v>
      </c>
      <c r="M351" s="10">
        <f>K351*(1+L351)</f>
        <v/>
      </c>
      <c r="N351" s="7" t="inlineStr">
        <is>
          <t>NOVO (Tabela Marfel V01JUN26)</t>
        </is>
      </c>
      <c r="O351" s="12" t="inlineStr">
        <is>
          <t>Sem custo cadastrado da Alquimia para esta gramatura — usado apenas o valor da Marfel.</t>
        </is>
      </c>
    </row>
    <row r="352">
      <c r="A352" s="6" t="inlineStr">
        <is>
          <t>Alça Vazada</t>
        </is>
      </c>
      <c r="B352" s="7" t="inlineStr">
        <is>
          <t>36x48</t>
        </is>
      </c>
      <c r="C352" s="7" t="inlineStr">
        <is>
          <t>0,09</t>
        </is>
      </c>
      <c r="D352" s="7" t="inlineStr">
        <is>
          <t>800–899</t>
        </is>
      </c>
      <c r="E352" s="7" t="n">
        <v>800</v>
      </c>
      <c r="F352" s="8" t="n">
        <v>0.5403600000000001</v>
      </c>
      <c r="G352" s="8" t="n">
        <v>0</v>
      </c>
      <c r="H352" s="8" t="n">
        <v>0.5403600000000001</v>
      </c>
      <c r="I352" s="9" t="inlineStr">
        <is>
          <t>Marfel (unico)</t>
        </is>
      </c>
      <c r="J352" s="8" t="n">
        <v>0.3</v>
      </c>
      <c r="K352" s="10">
        <f>H352+J352</f>
        <v/>
      </c>
      <c r="L352" s="11" t="n">
        <v>0.51</v>
      </c>
      <c r="M352" s="10">
        <f>K352*(1+L352)</f>
        <v/>
      </c>
      <c r="N352" s="7" t="inlineStr">
        <is>
          <t>NOVO (Tabela Marfel V01JUN26)</t>
        </is>
      </c>
      <c r="O352" s="12" t="inlineStr">
        <is>
          <t>Sem custo cadastrado da Alquimia para esta gramatura — usado apenas o valor da Marfel.</t>
        </is>
      </c>
    </row>
    <row r="353">
      <c r="A353" s="6" t="inlineStr">
        <is>
          <t>Alça Vazada</t>
        </is>
      </c>
      <c r="B353" s="7" t="inlineStr">
        <is>
          <t>36x48</t>
        </is>
      </c>
      <c r="C353" s="7" t="inlineStr">
        <is>
          <t>0,09</t>
        </is>
      </c>
      <c r="D353" s="7" t="inlineStr">
        <is>
          <t>900–999</t>
        </is>
      </c>
      <c r="E353" s="7" t="n">
        <v>900</v>
      </c>
      <c r="F353" s="8" t="n">
        <v>0.5403600000000001</v>
      </c>
      <c r="G353" s="8" t="n">
        <v>0</v>
      </c>
      <c r="H353" s="8" t="n">
        <v>0.5403600000000001</v>
      </c>
      <c r="I353" s="9" t="inlineStr">
        <is>
          <t>Marfel (unico)</t>
        </is>
      </c>
      <c r="J353" s="8" t="n">
        <v>0.3</v>
      </c>
      <c r="K353" s="10">
        <f>H353+J353</f>
        <v/>
      </c>
      <c r="L353" s="11" t="n">
        <v>0.48</v>
      </c>
      <c r="M353" s="10">
        <f>K353*(1+L353)</f>
        <v/>
      </c>
      <c r="N353" s="7" t="inlineStr">
        <is>
          <t>NOVO (Tabela Marfel V01JUN26)</t>
        </is>
      </c>
      <c r="O353" s="12" t="inlineStr">
        <is>
          <t>Sem custo cadastrado da Alquimia para esta gramatura — usado apenas o valor da Marfel.</t>
        </is>
      </c>
    </row>
    <row r="354">
      <c r="A354" s="6" t="inlineStr">
        <is>
          <t>Alça Vazada</t>
        </is>
      </c>
      <c r="B354" s="7" t="inlineStr">
        <is>
          <t>36x48</t>
        </is>
      </c>
      <c r="C354" s="7" t="inlineStr">
        <is>
          <t>0,09</t>
        </is>
      </c>
      <c r="D354" s="7" t="inlineStr">
        <is>
          <t>1000+</t>
        </is>
      </c>
      <c r="E354" s="7" t="n">
        <v>1000</v>
      </c>
      <c r="F354" s="8" t="n">
        <v>0.5403600000000001</v>
      </c>
      <c r="G354" s="8" t="n">
        <v>0</v>
      </c>
      <c r="H354" s="8" t="n">
        <v>0.5403600000000001</v>
      </c>
      <c r="I354" s="9" t="inlineStr">
        <is>
          <t>Marfel (unico)</t>
        </is>
      </c>
      <c r="J354" s="8" t="n">
        <v>0.3</v>
      </c>
      <c r="K354" s="10">
        <f>H354+J354</f>
        <v/>
      </c>
      <c r="L354" s="11" t="n">
        <v>0.4</v>
      </c>
      <c r="M354" s="10">
        <f>K354*(1+L354)</f>
        <v/>
      </c>
      <c r="N354" s="7" t="inlineStr">
        <is>
          <t>NOVO (Tabela Marfel V01JUN26)</t>
        </is>
      </c>
      <c r="O354" s="12" t="inlineStr">
        <is>
          <t>Sem custo cadastrado da Alquimia para esta gramatura — usado apenas o valor da Marfel.</t>
        </is>
      </c>
    </row>
    <row r="355">
      <c r="A355" s="6" t="inlineStr">
        <is>
          <t>Alça Vazada</t>
        </is>
      </c>
      <c r="B355" s="7" t="inlineStr">
        <is>
          <t>36x48</t>
        </is>
      </c>
      <c r="C355" s="7" t="inlineStr">
        <is>
          <t>0,12</t>
        </is>
      </c>
      <c r="D355" s="7" t="inlineStr">
        <is>
          <t>100–199</t>
        </is>
      </c>
      <c r="E355" s="7" t="n">
        <v>100</v>
      </c>
      <c r="F355" s="8" t="n">
        <v>0.70794</v>
      </c>
      <c r="G355" s="8" t="n">
        <v>0</v>
      </c>
      <c r="H355" s="8" t="n">
        <v>0.70794</v>
      </c>
      <c r="I355" s="9" t="inlineStr">
        <is>
          <t>Marfel (unico)</t>
        </is>
      </c>
      <c r="J355" s="8" t="n">
        <v>0.3</v>
      </c>
      <c r="K355" s="10">
        <f>H355+J355</f>
        <v/>
      </c>
      <c r="L355" s="11" t="n">
        <v>1</v>
      </c>
      <c r="M355" s="10">
        <f>K355*(1+L355)</f>
        <v/>
      </c>
      <c r="N355" s="7" t="inlineStr">
        <is>
          <t>NOVO (Tabela Marfel V01JUN26)</t>
        </is>
      </c>
      <c r="O355" s="12" t="inlineStr">
        <is>
          <t>Sem custo cadastrado da Alquimia para esta gramatura — usado apenas o valor da Marfel.</t>
        </is>
      </c>
    </row>
    <row r="356">
      <c r="A356" s="6" t="inlineStr">
        <is>
          <t>Alça Vazada</t>
        </is>
      </c>
      <c r="B356" s="7" t="inlineStr">
        <is>
          <t>36x48</t>
        </is>
      </c>
      <c r="C356" s="7" t="inlineStr">
        <is>
          <t>0,12</t>
        </is>
      </c>
      <c r="D356" s="7" t="inlineStr">
        <is>
          <t>200–299</t>
        </is>
      </c>
      <c r="E356" s="7" t="n">
        <v>200</v>
      </c>
      <c r="F356" s="8" t="n">
        <v>0.70794</v>
      </c>
      <c r="G356" s="8" t="n">
        <v>0</v>
      </c>
      <c r="H356" s="8" t="n">
        <v>0.70794</v>
      </c>
      <c r="I356" s="9" t="inlineStr">
        <is>
          <t>Marfel (unico)</t>
        </is>
      </c>
      <c r="J356" s="8" t="n">
        <v>0.3</v>
      </c>
      <c r="K356" s="10">
        <f>H356+J356</f>
        <v/>
      </c>
      <c r="L356" s="11" t="n">
        <v>0.75</v>
      </c>
      <c r="M356" s="10">
        <f>K356*(1+L356)</f>
        <v/>
      </c>
      <c r="N356" s="7" t="inlineStr">
        <is>
          <t>NOVO (Tabela Marfel V01JUN26)</t>
        </is>
      </c>
      <c r="O356" s="12" t="inlineStr">
        <is>
          <t>Sem custo cadastrado da Alquimia para esta gramatura — usado apenas o valor da Marfel.</t>
        </is>
      </c>
    </row>
    <row r="357">
      <c r="A357" s="6" t="inlineStr">
        <is>
          <t>Alça Vazada</t>
        </is>
      </c>
      <c r="B357" s="7" t="inlineStr">
        <is>
          <t>36x48</t>
        </is>
      </c>
      <c r="C357" s="7" t="inlineStr">
        <is>
          <t>0,12</t>
        </is>
      </c>
      <c r="D357" s="7" t="inlineStr">
        <is>
          <t>300–399</t>
        </is>
      </c>
      <c r="E357" s="7" t="n">
        <v>300</v>
      </c>
      <c r="F357" s="8" t="n">
        <v>0.70794</v>
      </c>
      <c r="G357" s="8" t="n">
        <v>0</v>
      </c>
      <c r="H357" s="8" t="n">
        <v>0.70794</v>
      </c>
      <c r="I357" s="9" t="inlineStr">
        <is>
          <t>Marfel (unico)</t>
        </is>
      </c>
      <c r="J357" s="8" t="n">
        <v>0.3</v>
      </c>
      <c r="K357" s="10">
        <f>H357+J357</f>
        <v/>
      </c>
      <c r="L357" s="11" t="n">
        <v>0.7</v>
      </c>
      <c r="M357" s="10">
        <f>K357*(1+L357)</f>
        <v/>
      </c>
      <c r="N357" s="7" t="inlineStr">
        <is>
          <t>NOVO (Tabela Marfel V01JUN26)</t>
        </is>
      </c>
      <c r="O357" s="12" t="inlineStr">
        <is>
          <t>Sem custo cadastrado da Alquimia para esta gramatura — usado apenas o valor da Marfel.</t>
        </is>
      </c>
    </row>
    <row r="358">
      <c r="A358" s="6" t="inlineStr">
        <is>
          <t>Alça Vazada</t>
        </is>
      </c>
      <c r="B358" s="7" t="inlineStr">
        <is>
          <t>36x48</t>
        </is>
      </c>
      <c r="C358" s="7" t="inlineStr">
        <is>
          <t>0,12</t>
        </is>
      </c>
      <c r="D358" s="7" t="inlineStr">
        <is>
          <t>400–499</t>
        </is>
      </c>
      <c r="E358" s="7" t="n">
        <v>400</v>
      </c>
      <c r="F358" s="8" t="n">
        <v>0.70794</v>
      </c>
      <c r="G358" s="8" t="n">
        <v>0</v>
      </c>
      <c r="H358" s="8" t="n">
        <v>0.70794</v>
      </c>
      <c r="I358" s="9" t="inlineStr">
        <is>
          <t>Marfel (unico)</t>
        </is>
      </c>
      <c r="J358" s="8" t="n">
        <v>0.3</v>
      </c>
      <c r="K358" s="10">
        <f>H358+J358</f>
        <v/>
      </c>
      <c r="L358" s="11" t="n">
        <v>0.65</v>
      </c>
      <c r="M358" s="10">
        <f>K358*(1+L358)</f>
        <v/>
      </c>
      <c r="N358" s="7" t="inlineStr">
        <is>
          <t>NOVO (Tabela Marfel V01JUN26)</t>
        </is>
      </c>
      <c r="O358" s="12" t="inlineStr">
        <is>
          <t>Sem custo cadastrado da Alquimia para esta gramatura — usado apenas o valor da Marfel.</t>
        </is>
      </c>
    </row>
    <row r="359">
      <c r="A359" s="6" t="inlineStr">
        <is>
          <t>Alça Vazada</t>
        </is>
      </c>
      <c r="B359" s="7" t="inlineStr">
        <is>
          <t>36x48</t>
        </is>
      </c>
      <c r="C359" s="7" t="inlineStr">
        <is>
          <t>0,12</t>
        </is>
      </c>
      <c r="D359" s="7" t="inlineStr">
        <is>
          <t>500–599</t>
        </is>
      </c>
      <c r="E359" s="7" t="n">
        <v>500</v>
      </c>
      <c r="F359" s="8" t="n">
        <v>0.70794</v>
      </c>
      <c r="G359" s="8" t="n">
        <v>0</v>
      </c>
      <c r="H359" s="8" t="n">
        <v>0.70794</v>
      </c>
      <c r="I359" s="9" t="inlineStr">
        <is>
          <t>Marfel (unico)</t>
        </is>
      </c>
      <c r="J359" s="8" t="n">
        <v>0.3</v>
      </c>
      <c r="K359" s="10">
        <f>H359+J359</f>
        <v/>
      </c>
      <c r="L359" s="11" t="n">
        <v>0.6</v>
      </c>
      <c r="M359" s="10">
        <f>K359*(1+L359)</f>
        <v/>
      </c>
      <c r="N359" s="7" t="inlineStr">
        <is>
          <t>NOVO (Tabela Marfel V01JUN26)</t>
        </is>
      </c>
      <c r="O359" s="12" t="inlineStr">
        <is>
          <t>Sem custo cadastrado da Alquimia para esta gramatura — usado apenas o valor da Marfel.</t>
        </is>
      </c>
    </row>
    <row r="360">
      <c r="A360" s="6" t="inlineStr">
        <is>
          <t>Alça Vazada</t>
        </is>
      </c>
      <c r="B360" s="7" t="inlineStr">
        <is>
          <t>36x48</t>
        </is>
      </c>
      <c r="C360" s="7" t="inlineStr">
        <is>
          <t>0,12</t>
        </is>
      </c>
      <c r="D360" s="7" t="inlineStr">
        <is>
          <t>600–699</t>
        </is>
      </c>
      <c r="E360" s="7" t="n">
        <v>600</v>
      </c>
      <c r="F360" s="8" t="n">
        <v>0.70794</v>
      </c>
      <c r="G360" s="8" t="n">
        <v>0</v>
      </c>
      <c r="H360" s="8" t="n">
        <v>0.70794</v>
      </c>
      <c r="I360" s="9" t="inlineStr">
        <is>
          <t>Marfel (unico)</t>
        </is>
      </c>
      <c r="J360" s="8" t="n">
        <v>0.3</v>
      </c>
      <c r="K360" s="10">
        <f>H360+J360</f>
        <v/>
      </c>
      <c r="L360" s="11" t="n">
        <v>0.57</v>
      </c>
      <c r="M360" s="10">
        <f>K360*(1+L360)</f>
        <v/>
      </c>
      <c r="N360" s="7" t="inlineStr">
        <is>
          <t>NOVO (Tabela Marfel V01JUN26)</t>
        </is>
      </c>
      <c r="O360" s="12" t="inlineStr">
        <is>
          <t>Sem custo cadastrado da Alquimia para esta gramatura — usado apenas o valor da Marfel.</t>
        </is>
      </c>
    </row>
    <row r="361">
      <c r="A361" s="6" t="inlineStr">
        <is>
          <t>Alça Vazada</t>
        </is>
      </c>
      <c r="B361" s="7" t="inlineStr">
        <is>
          <t>36x48</t>
        </is>
      </c>
      <c r="C361" s="7" t="inlineStr">
        <is>
          <t>0,12</t>
        </is>
      </c>
      <c r="D361" s="7" t="inlineStr">
        <is>
          <t>700–799</t>
        </is>
      </c>
      <c r="E361" s="7" t="n">
        <v>700</v>
      </c>
      <c r="F361" s="8" t="n">
        <v>0.70794</v>
      </c>
      <c r="G361" s="8" t="n">
        <v>0</v>
      </c>
      <c r="H361" s="8" t="n">
        <v>0.70794</v>
      </c>
      <c r="I361" s="9" t="inlineStr">
        <is>
          <t>Marfel (unico)</t>
        </is>
      </c>
      <c r="J361" s="8" t="n">
        <v>0.3</v>
      </c>
      <c r="K361" s="10">
        <f>H361+J361</f>
        <v/>
      </c>
      <c r="L361" s="11" t="n">
        <v>0.54</v>
      </c>
      <c r="M361" s="10">
        <f>K361*(1+L361)</f>
        <v/>
      </c>
      <c r="N361" s="7" t="inlineStr">
        <is>
          <t>NOVO (Tabela Marfel V01JUN26)</t>
        </is>
      </c>
      <c r="O361" s="12" t="inlineStr">
        <is>
          <t>Sem custo cadastrado da Alquimia para esta gramatura — usado apenas o valor da Marfel.</t>
        </is>
      </c>
    </row>
    <row r="362">
      <c r="A362" s="6" t="inlineStr">
        <is>
          <t>Alça Vazada</t>
        </is>
      </c>
      <c r="B362" s="7" t="inlineStr">
        <is>
          <t>36x48</t>
        </is>
      </c>
      <c r="C362" s="7" t="inlineStr">
        <is>
          <t>0,12</t>
        </is>
      </c>
      <c r="D362" s="7" t="inlineStr">
        <is>
          <t>800–899</t>
        </is>
      </c>
      <c r="E362" s="7" t="n">
        <v>800</v>
      </c>
      <c r="F362" s="8" t="n">
        <v>0.70794</v>
      </c>
      <c r="G362" s="8" t="n">
        <v>0</v>
      </c>
      <c r="H362" s="8" t="n">
        <v>0.70794</v>
      </c>
      <c r="I362" s="9" t="inlineStr">
        <is>
          <t>Marfel (unico)</t>
        </is>
      </c>
      <c r="J362" s="8" t="n">
        <v>0.3</v>
      </c>
      <c r="K362" s="10">
        <f>H362+J362</f>
        <v/>
      </c>
      <c r="L362" s="11" t="n">
        <v>0.51</v>
      </c>
      <c r="M362" s="10">
        <f>K362*(1+L362)</f>
        <v/>
      </c>
      <c r="N362" s="7" t="inlineStr">
        <is>
          <t>NOVO (Tabela Marfel V01JUN26)</t>
        </is>
      </c>
      <c r="O362" s="12" t="inlineStr">
        <is>
          <t>Sem custo cadastrado da Alquimia para esta gramatura — usado apenas o valor da Marfel.</t>
        </is>
      </c>
    </row>
    <row r="363">
      <c r="A363" s="6" t="inlineStr">
        <is>
          <t>Alça Vazada</t>
        </is>
      </c>
      <c r="B363" s="7" t="inlineStr">
        <is>
          <t>36x48</t>
        </is>
      </c>
      <c r="C363" s="7" t="inlineStr">
        <is>
          <t>0,12</t>
        </is>
      </c>
      <c r="D363" s="7" t="inlineStr">
        <is>
          <t>900–999</t>
        </is>
      </c>
      <c r="E363" s="7" t="n">
        <v>900</v>
      </c>
      <c r="F363" s="8" t="n">
        <v>0.70794</v>
      </c>
      <c r="G363" s="8" t="n">
        <v>0</v>
      </c>
      <c r="H363" s="8" t="n">
        <v>0.70794</v>
      </c>
      <c r="I363" s="9" t="inlineStr">
        <is>
          <t>Marfel (unico)</t>
        </is>
      </c>
      <c r="J363" s="8" t="n">
        <v>0.3</v>
      </c>
      <c r="K363" s="10">
        <f>H363+J363</f>
        <v/>
      </c>
      <c r="L363" s="11" t="n">
        <v>0.48</v>
      </c>
      <c r="M363" s="10">
        <f>K363*(1+L363)</f>
        <v/>
      </c>
      <c r="N363" s="7" t="inlineStr">
        <is>
          <t>NOVO (Tabela Marfel V01JUN26)</t>
        </is>
      </c>
      <c r="O363" s="12" t="inlineStr">
        <is>
          <t>Sem custo cadastrado da Alquimia para esta gramatura — usado apenas o valor da Marfel.</t>
        </is>
      </c>
    </row>
    <row r="364">
      <c r="A364" s="6" t="inlineStr">
        <is>
          <t>Alça Vazada</t>
        </is>
      </c>
      <c r="B364" s="7" t="inlineStr">
        <is>
          <t>36x48</t>
        </is>
      </c>
      <c r="C364" s="7" t="inlineStr">
        <is>
          <t>0,12</t>
        </is>
      </c>
      <c r="D364" s="7" t="inlineStr">
        <is>
          <t>1000+</t>
        </is>
      </c>
      <c r="E364" s="7" t="n">
        <v>1000</v>
      </c>
      <c r="F364" s="8" t="n">
        <v>0.70794</v>
      </c>
      <c r="G364" s="8" t="n">
        <v>0</v>
      </c>
      <c r="H364" s="8" t="n">
        <v>0.70794</v>
      </c>
      <c r="I364" s="9" t="inlineStr">
        <is>
          <t>Marfel (unico)</t>
        </is>
      </c>
      <c r="J364" s="8" t="n">
        <v>0.3</v>
      </c>
      <c r="K364" s="10">
        <f>H364+J364</f>
        <v/>
      </c>
      <c r="L364" s="11" t="n">
        <v>0.4</v>
      </c>
      <c r="M364" s="10">
        <f>K364*(1+L364)</f>
        <v/>
      </c>
      <c r="N364" s="7" t="inlineStr">
        <is>
          <t>NOVO (Tabela Marfel V01JUN26)</t>
        </is>
      </c>
      <c r="O364" s="12" t="inlineStr">
        <is>
          <t>Sem custo cadastrado da Alquimia para esta gramatura — usado apenas o valor da Marfel.</t>
        </is>
      </c>
    </row>
    <row r="365">
      <c r="A365" s="6" t="inlineStr">
        <is>
          <t>Alça Vazada</t>
        </is>
      </c>
      <c r="B365" s="7" t="inlineStr">
        <is>
          <t>40x50</t>
        </is>
      </c>
      <c r="C365" s="7" t="inlineStr">
        <is>
          <t>0,08</t>
        </is>
      </c>
      <c r="D365" s="7" t="inlineStr">
        <is>
          <t>100–199</t>
        </is>
      </c>
      <c r="E365" s="7" t="n">
        <v>100</v>
      </c>
      <c r="F365" s="8" t="n">
        <v>0</v>
      </c>
      <c r="G365" s="8" t="n">
        <v>0.424</v>
      </c>
      <c r="H365" s="8" t="n">
        <v>0.424</v>
      </c>
      <c r="I365" s="9" t="inlineStr">
        <is>
          <t>Alquimia (unico)</t>
        </is>
      </c>
      <c r="J365" s="8" t="n">
        <v>0.3</v>
      </c>
      <c r="K365" s="10">
        <f>H365+J365</f>
        <v/>
      </c>
      <c r="L365" s="11" t="n">
        <v>1</v>
      </c>
      <c r="M365" s="10">
        <f>K365*(1+L365)</f>
        <v/>
      </c>
      <c r="N365" s="7" t="inlineStr">
        <is>
          <t>já existia</t>
        </is>
      </c>
      <c r="O365" s="12" t="inlineStr">
        <is>
          <t>Sem custo cadastrado da Marfel para esta gramatura — usado apenas o valor da Alquimia.</t>
        </is>
      </c>
    </row>
    <row r="366">
      <c r="A366" s="6" t="inlineStr">
        <is>
          <t>Alça Vazada</t>
        </is>
      </c>
      <c r="B366" s="7" t="inlineStr">
        <is>
          <t>40x50</t>
        </is>
      </c>
      <c r="C366" s="7" t="inlineStr">
        <is>
          <t>0,08</t>
        </is>
      </c>
      <c r="D366" s="7" t="inlineStr">
        <is>
          <t>200–299</t>
        </is>
      </c>
      <c r="E366" s="7" t="n">
        <v>200</v>
      </c>
      <c r="F366" s="8" t="n">
        <v>0</v>
      </c>
      <c r="G366" s="8" t="n">
        <v>0.424</v>
      </c>
      <c r="H366" s="8" t="n">
        <v>0.424</v>
      </c>
      <c r="I366" s="9" t="inlineStr">
        <is>
          <t>Alquimia (unico)</t>
        </is>
      </c>
      <c r="J366" s="8" t="n">
        <v>0.3</v>
      </c>
      <c r="K366" s="10">
        <f>H366+J366</f>
        <v/>
      </c>
      <c r="L366" s="11" t="n">
        <v>0.75</v>
      </c>
      <c r="M366" s="10">
        <f>K366*(1+L366)</f>
        <v/>
      </c>
      <c r="N366" s="7" t="inlineStr">
        <is>
          <t>já existia</t>
        </is>
      </c>
      <c r="O366" s="12" t="inlineStr">
        <is>
          <t>Sem custo cadastrado da Marfel para esta gramatura — usado apenas o valor da Alquimia.</t>
        </is>
      </c>
    </row>
    <row r="367">
      <c r="A367" s="6" t="inlineStr">
        <is>
          <t>Alça Vazada</t>
        </is>
      </c>
      <c r="B367" s="7" t="inlineStr">
        <is>
          <t>40x50</t>
        </is>
      </c>
      <c r="C367" s="7" t="inlineStr">
        <is>
          <t>0,08</t>
        </is>
      </c>
      <c r="D367" s="7" t="inlineStr">
        <is>
          <t>300–399</t>
        </is>
      </c>
      <c r="E367" s="7" t="n">
        <v>300</v>
      </c>
      <c r="F367" s="8" t="n">
        <v>0</v>
      </c>
      <c r="G367" s="8" t="n">
        <v>0.424</v>
      </c>
      <c r="H367" s="8" t="n">
        <v>0.424</v>
      </c>
      <c r="I367" s="9" t="inlineStr">
        <is>
          <t>Alquimia (unico)</t>
        </is>
      </c>
      <c r="J367" s="8" t="n">
        <v>0.3</v>
      </c>
      <c r="K367" s="10">
        <f>H367+J367</f>
        <v/>
      </c>
      <c r="L367" s="11" t="n">
        <v>0.7</v>
      </c>
      <c r="M367" s="10">
        <f>K367*(1+L367)</f>
        <v/>
      </c>
      <c r="N367" s="7" t="inlineStr">
        <is>
          <t>já existia</t>
        </is>
      </c>
      <c r="O367" s="12" t="inlineStr">
        <is>
          <t>Sem custo cadastrado da Marfel para esta gramatura — usado apenas o valor da Alquimia.</t>
        </is>
      </c>
    </row>
    <row r="368">
      <c r="A368" s="6" t="inlineStr">
        <is>
          <t>Alça Vazada</t>
        </is>
      </c>
      <c r="B368" s="7" t="inlineStr">
        <is>
          <t>40x50</t>
        </is>
      </c>
      <c r="C368" s="7" t="inlineStr">
        <is>
          <t>0,08</t>
        </is>
      </c>
      <c r="D368" s="7" t="inlineStr">
        <is>
          <t>400–499</t>
        </is>
      </c>
      <c r="E368" s="7" t="n">
        <v>400</v>
      </c>
      <c r="F368" s="8" t="n">
        <v>0</v>
      </c>
      <c r="G368" s="8" t="n">
        <v>0.424</v>
      </c>
      <c r="H368" s="8" t="n">
        <v>0.424</v>
      </c>
      <c r="I368" s="9" t="inlineStr">
        <is>
          <t>Alquimia (unico)</t>
        </is>
      </c>
      <c r="J368" s="8" t="n">
        <v>0.3</v>
      </c>
      <c r="K368" s="10">
        <f>H368+J368</f>
        <v/>
      </c>
      <c r="L368" s="11" t="n">
        <v>0.65</v>
      </c>
      <c r="M368" s="10">
        <f>K368*(1+L368)</f>
        <v/>
      </c>
      <c r="N368" s="7" t="inlineStr">
        <is>
          <t>já existia</t>
        </is>
      </c>
      <c r="O368" s="12" t="inlineStr">
        <is>
          <t>Sem custo cadastrado da Marfel para esta gramatura — usado apenas o valor da Alquimia.</t>
        </is>
      </c>
    </row>
    <row r="369">
      <c r="A369" s="6" t="inlineStr">
        <is>
          <t>Alça Vazada</t>
        </is>
      </c>
      <c r="B369" s="7" t="inlineStr">
        <is>
          <t>40x50</t>
        </is>
      </c>
      <c r="C369" s="7" t="inlineStr">
        <is>
          <t>0,08</t>
        </is>
      </c>
      <c r="D369" s="7" t="inlineStr">
        <is>
          <t>500–599</t>
        </is>
      </c>
      <c r="E369" s="7" t="n">
        <v>500</v>
      </c>
      <c r="F369" s="8" t="n">
        <v>0</v>
      </c>
      <c r="G369" s="8" t="n">
        <v>0.424</v>
      </c>
      <c r="H369" s="8" t="n">
        <v>0.424</v>
      </c>
      <c r="I369" s="9" t="inlineStr">
        <is>
          <t>Alquimia (unico)</t>
        </is>
      </c>
      <c r="J369" s="8" t="n">
        <v>0.3</v>
      </c>
      <c r="K369" s="10">
        <f>H369+J369</f>
        <v/>
      </c>
      <c r="L369" s="11" t="n">
        <v>0.6</v>
      </c>
      <c r="M369" s="10">
        <f>K369*(1+L369)</f>
        <v/>
      </c>
      <c r="N369" s="7" t="inlineStr">
        <is>
          <t>já existia</t>
        </is>
      </c>
      <c r="O369" s="12" t="inlineStr">
        <is>
          <t>Sem custo cadastrado da Marfel para esta gramatura — usado apenas o valor da Alquimia.</t>
        </is>
      </c>
    </row>
    <row r="370">
      <c r="A370" s="6" t="inlineStr">
        <is>
          <t>Alça Vazada</t>
        </is>
      </c>
      <c r="B370" s="7" t="inlineStr">
        <is>
          <t>40x50</t>
        </is>
      </c>
      <c r="C370" s="7" t="inlineStr">
        <is>
          <t>0,08</t>
        </is>
      </c>
      <c r="D370" s="7" t="inlineStr">
        <is>
          <t>600–699</t>
        </is>
      </c>
      <c r="E370" s="7" t="n">
        <v>600</v>
      </c>
      <c r="F370" s="8" t="n">
        <v>0</v>
      </c>
      <c r="G370" s="8" t="n">
        <v>0.424</v>
      </c>
      <c r="H370" s="8" t="n">
        <v>0.424</v>
      </c>
      <c r="I370" s="9" t="inlineStr">
        <is>
          <t>Alquimia (unico)</t>
        </is>
      </c>
      <c r="J370" s="8" t="n">
        <v>0.3</v>
      </c>
      <c r="K370" s="10">
        <f>H370+J370</f>
        <v/>
      </c>
      <c r="L370" s="11" t="n">
        <v>0.57</v>
      </c>
      <c r="M370" s="10">
        <f>K370*(1+L370)</f>
        <v/>
      </c>
      <c r="N370" s="7" t="inlineStr">
        <is>
          <t>já existia</t>
        </is>
      </c>
      <c r="O370" s="12" t="inlineStr">
        <is>
          <t>Sem custo cadastrado da Marfel para esta gramatura — usado apenas o valor da Alquimia.</t>
        </is>
      </c>
    </row>
    <row r="371">
      <c r="A371" s="6" t="inlineStr">
        <is>
          <t>Alça Vazada</t>
        </is>
      </c>
      <c r="B371" s="7" t="inlineStr">
        <is>
          <t>40x50</t>
        </is>
      </c>
      <c r="C371" s="7" t="inlineStr">
        <is>
          <t>0,08</t>
        </is>
      </c>
      <c r="D371" s="7" t="inlineStr">
        <is>
          <t>700–799</t>
        </is>
      </c>
      <c r="E371" s="7" t="n">
        <v>700</v>
      </c>
      <c r="F371" s="8" t="n">
        <v>0</v>
      </c>
      <c r="G371" s="8" t="n">
        <v>0.424</v>
      </c>
      <c r="H371" s="8" t="n">
        <v>0.424</v>
      </c>
      <c r="I371" s="9" t="inlineStr">
        <is>
          <t>Alquimia (unico)</t>
        </is>
      </c>
      <c r="J371" s="8" t="n">
        <v>0.3</v>
      </c>
      <c r="K371" s="10">
        <f>H371+J371</f>
        <v/>
      </c>
      <c r="L371" s="11" t="n">
        <v>0.54</v>
      </c>
      <c r="M371" s="10">
        <f>K371*(1+L371)</f>
        <v/>
      </c>
      <c r="N371" s="7" t="inlineStr">
        <is>
          <t>já existia</t>
        </is>
      </c>
      <c r="O371" s="12" t="inlineStr">
        <is>
          <t>Sem custo cadastrado da Marfel para esta gramatura — usado apenas o valor da Alquimia.</t>
        </is>
      </c>
    </row>
    <row r="372">
      <c r="A372" s="6" t="inlineStr">
        <is>
          <t>Alça Vazada</t>
        </is>
      </c>
      <c r="B372" s="7" t="inlineStr">
        <is>
          <t>40x50</t>
        </is>
      </c>
      <c r="C372" s="7" t="inlineStr">
        <is>
          <t>0,08</t>
        </is>
      </c>
      <c r="D372" s="7" t="inlineStr">
        <is>
          <t>800–899</t>
        </is>
      </c>
      <c r="E372" s="7" t="n">
        <v>800</v>
      </c>
      <c r="F372" s="8" t="n">
        <v>0</v>
      </c>
      <c r="G372" s="8" t="n">
        <v>0.424</v>
      </c>
      <c r="H372" s="8" t="n">
        <v>0.424</v>
      </c>
      <c r="I372" s="9" t="inlineStr">
        <is>
          <t>Alquimia (unico)</t>
        </is>
      </c>
      <c r="J372" s="8" t="n">
        <v>0.3</v>
      </c>
      <c r="K372" s="10">
        <f>H372+J372</f>
        <v/>
      </c>
      <c r="L372" s="11" t="n">
        <v>0.51</v>
      </c>
      <c r="M372" s="10">
        <f>K372*(1+L372)</f>
        <v/>
      </c>
      <c r="N372" s="7" t="inlineStr">
        <is>
          <t>já existia</t>
        </is>
      </c>
      <c r="O372" s="12" t="inlineStr">
        <is>
          <t>Sem custo cadastrado da Marfel para esta gramatura — usado apenas o valor da Alquimia.</t>
        </is>
      </c>
    </row>
    <row r="373">
      <c r="A373" s="6" t="inlineStr">
        <is>
          <t>Alça Vazada</t>
        </is>
      </c>
      <c r="B373" s="7" t="inlineStr">
        <is>
          <t>40x50</t>
        </is>
      </c>
      <c r="C373" s="7" t="inlineStr">
        <is>
          <t>0,08</t>
        </is>
      </c>
      <c r="D373" s="7" t="inlineStr">
        <is>
          <t>900–999</t>
        </is>
      </c>
      <c r="E373" s="7" t="n">
        <v>900</v>
      </c>
      <c r="F373" s="8" t="n">
        <v>0</v>
      </c>
      <c r="G373" s="8" t="n">
        <v>0.424</v>
      </c>
      <c r="H373" s="8" t="n">
        <v>0.424</v>
      </c>
      <c r="I373" s="9" t="inlineStr">
        <is>
          <t>Alquimia (unico)</t>
        </is>
      </c>
      <c r="J373" s="8" t="n">
        <v>0.3</v>
      </c>
      <c r="K373" s="10">
        <f>H373+J373</f>
        <v/>
      </c>
      <c r="L373" s="11" t="n">
        <v>0.48</v>
      </c>
      <c r="M373" s="10">
        <f>K373*(1+L373)</f>
        <v/>
      </c>
      <c r="N373" s="7" t="inlineStr">
        <is>
          <t>já existia</t>
        </is>
      </c>
      <c r="O373" s="12" t="inlineStr">
        <is>
          <t>Sem custo cadastrado da Marfel para esta gramatura — usado apenas o valor da Alquimia.</t>
        </is>
      </c>
    </row>
    <row r="374">
      <c r="A374" s="6" t="inlineStr">
        <is>
          <t>Alça Vazada</t>
        </is>
      </c>
      <c r="B374" s="7" t="inlineStr">
        <is>
          <t>40x50</t>
        </is>
      </c>
      <c r="C374" s="7" t="inlineStr">
        <is>
          <t>0,08</t>
        </is>
      </c>
      <c r="D374" s="7" t="inlineStr">
        <is>
          <t>1000+</t>
        </is>
      </c>
      <c r="E374" s="7" t="n">
        <v>1000</v>
      </c>
      <c r="F374" s="8" t="n">
        <v>0</v>
      </c>
      <c r="G374" s="8" t="n">
        <v>0.424</v>
      </c>
      <c r="H374" s="8" t="n">
        <v>0.424</v>
      </c>
      <c r="I374" s="9" t="inlineStr">
        <is>
          <t>Alquimia (unico)</t>
        </is>
      </c>
      <c r="J374" s="8" t="n">
        <v>0.3</v>
      </c>
      <c r="K374" s="10">
        <f>H374+J374</f>
        <v/>
      </c>
      <c r="L374" s="11" t="n">
        <v>0.4</v>
      </c>
      <c r="M374" s="10">
        <f>K374*(1+L374)</f>
        <v/>
      </c>
      <c r="N374" s="7" t="inlineStr">
        <is>
          <t>já existia</t>
        </is>
      </c>
      <c r="O374" s="12" t="inlineStr">
        <is>
          <t>Sem custo cadastrado da Marfel para esta gramatura — usado apenas o valor da Alquimia.</t>
        </is>
      </c>
    </row>
    <row r="375">
      <c r="A375" s="6" t="inlineStr">
        <is>
          <t>Alça Vazada</t>
        </is>
      </c>
      <c r="B375" s="7" t="inlineStr">
        <is>
          <t>40x50</t>
        </is>
      </c>
      <c r="C375" s="7" t="inlineStr">
        <is>
          <t>0,10</t>
        </is>
      </c>
      <c r="D375" s="7" t="inlineStr">
        <is>
          <t>100–199</t>
        </is>
      </c>
      <c r="E375" s="7" t="n">
        <v>100</v>
      </c>
      <c r="F375" s="8" t="n">
        <v>0.6840000000000001</v>
      </c>
      <c r="G375" s="8" t="n">
        <v>0</v>
      </c>
      <c r="H375" s="8" t="n">
        <v>0.6840000000000001</v>
      </c>
      <c r="I375" s="9" t="inlineStr">
        <is>
          <t>Marfel (unico)</t>
        </is>
      </c>
      <c r="J375" s="8" t="n">
        <v>0.3</v>
      </c>
      <c r="K375" s="10">
        <f>H375+J375</f>
        <v/>
      </c>
      <c r="L375" s="11" t="n">
        <v>1</v>
      </c>
      <c r="M375" s="10">
        <f>K375*(1+L375)</f>
        <v/>
      </c>
      <c r="N375" s="7" t="inlineStr">
        <is>
          <t>já existia</t>
        </is>
      </c>
      <c r="O375" s="12" t="inlineStr">
        <is>
          <t>Sem custo cadastrado da Alquimia para esta gramatura — usado apenas o valor da Marfel.</t>
        </is>
      </c>
    </row>
    <row r="376">
      <c r="A376" s="6" t="inlineStr">
        <is>
          <t>Alça Vazada</t>
        </is>
      </c>
      <c r="B376" s="7" t="inlineStr">
        <is>
          <t>40x50</t>
        </is>
      </c>
      <c r="C376" s="7" t="inlineStr">
        <is>
          <t>0,10</t>
        </is>
      </c>
      <c r="D376" s="7" t="inlineStr">
        <is>
          <t>200–299</t>
        </is>
      </c>
      <c r="E376" s="7" t="n">
        <v>200</v>
      </c>
      <c r="F376" s="8" t="n">
        <v>0.6840000000000001</v>
      </c>
      <c r="G376" s="8" t="n">
        <v>0</v>
      </c>
      <c r="H376" s="8" t="n">
        <v>0.6840000000000001</v>
      </c>
      <c r="I376" s="9" t="inlineStr">
        <is>
          <t>Marfel (unico)</t>
        </is>
      </c>
      <c r="J376" s="8" t="n">
        <v>0.3</v>
      </c>
      <c r="K376" s="10">
        <f>H376+J376</f>
        <v/>
      </c>
      <c r="L376" s="11" t="n">
        <v>0.75</v>
      </c>
      <c r="M376" s="10">
        <f>K376*(1+L376)</f>
        <v/>
      </c>
      <c r="N376" s="7" t="inlineStr">
        <is>
          <t>já existia</t>
        </is>
      </c>
      <c r="O376" s="12" t="inlineStr">
        <is>
          <t>Sem custo cadastrado da Alquimia para esta gramatura — usado apenas o valor da Marfel.</t>
        </is>
      </c>
    </row>
    <row r="377">
      <c r="A377" s="6" t="inlineStr">
        <is>
          <t>Alça Vazada</t>
        </is>
      </c>
      <c r="B377" s="7" t="inlineStr">
        <is>
          <t>40x50</t>
        </is>
      </c>
      <c r="C377" s="7" t="inlineStr">
        <is>
          <t>0,10</t>
        </is>
      </c>
      <c r="D377" s="7" t="inlineStr">
        <is>
          <t>300–399</t>
        </is>
      </c>
      <c r="E377" s="7" t="n">
        <v>300</v>
      </c>
      <c r="F377" s="8" t="n">
        <v>0.6840000000000001</v>
      </c>
      <c r="G377" s="8" t="n">
        <v>0</v>
      </c>
      <c r="H377" s="8" t="n">
        <v>0.6840000000000001</v>
      </c>
      <c r="I377" s="9" t="inlineStr">
        <is>
          <t>Marfel (unico)</t>
        </is>
      </c>
      <c r="J377" s="8" t="n">
        <v>0.3</v>
      </c>
      <c r="K377" s="10">
        <f>H377+J377</f>
        <v/>
      </c>
      <c r="L377" s="11" t="n">
        <v>0.7</v>
      </c>
      <c r="M377" s="10">
        <f>K377*(1+L377)</f>
        <v/>
      </c>
      <c r="N377" s="7" t="inlineStr">
        <is>
          <t>já existia</t>
        </is>
      </c>
      <c r="O377" s="12" t="inlineStr">
        <is>
          <t>Sem custo cadastrado da Alquimia para esta gramatura — usado apenas o valor da Marfel.</t>
        </is>
      </c>
    </row>
    <row r="378">
      <c r="A378" s="6" t="inlineStr">
        <is>
          <t>Alça Vazada</t>
        </is>
      </c>
      <c r="B378" s="7" t="inlineStr">
        <is>
          <t>40x50</t>
        </is>
      </c>
      <c r="C378" s="7" t="inlineStr">
        <is>
          <t>0,10</t>
        </is>
      </c>
      <c r="D378" s="7" t="inlineStr">
        <is>
          <t>400–499</t>
        </is>
      </c>
      <c r="E378" s="7" t="n">
        <v>400</v>
      </c>
      <c r="F378" s="8" t="n">
        <v>0.6840000000000001</v>
      </c>
      <c r="G378" s="8" t="n">
        <v>0</v>
      </c>
      <c r="H378" s="8" t="n">
        <v>0.6840000000000001</v>
      </c>
      <c r="I378" s="9" t="inlineStr">
        <is>
          <t>Marfel (unico)</t>
        </is>
      </c>
      <c r="J378" s="8" t="n">
        <v>0.3</v>
      </c>
      <c r="K378" s="10">
        <f>H378+J378</f>
        <v/>
      </c>
      <c r="L378" s="11" t="n">
        <v>0.65</v>
      </c>
      <c r="M378" s="10">
        <f>K378*(1+L378)</f>
        <v/>
      </c>
      <c r="N378" s="7" t="inlineStr">
        <is>
          <t>já existia</t>
        </is>
      </c>
      <c r="O378" s="12" t="inlineStr">
        <is>
          <t>Sem custo cadastrado da Alquimia para esta gramatura — usado apenas o valor da Marfel.</t>
        </is>
      </c>
    </row>
    <row r="379">
      <c r="A379" s="6" t="inlineStr">
        <is>
          <t>Alça Vazada</t>
        </is>
      </c>
      <c r="B379" s="7" t="inlineStr">
        <is>
          <t>40x50</t>
        </is>
      </c>
      <c r="C379" s="7" t="inlineStr">
        <is>
          <t>0,10</t>
        </is>
      </c>
      <c r="D379" s="7" t="inlineStr">
        <is>
          <t>500–599</t>
        </is>
      </c>
      <c r="E379" s="7" t="n">
        <v>500</v>
      </c>
      <c r="F379" s="8" t="n">
        <v>0.6840000000000001</v>
      </c>
      <c r="G379" s="8" t="n">
        <v>0</v>
      </c>
      <c r="H379" s="8" t="n">
        <v>0.6840000000000001</v>
      </c>
      <c r="I379" s="9" t="inlineStr">
        <is>
          <t>Marfel (unico)</t>
        </is>
      </c>
      <c r="J379" s="8" t="n">
        <v>0.3</v>
      </c>
      <c r="K379" s="10">
        <f>H379+J379</f>
        <v/>
      </c>
      <c r="L379" s="11" t="n">
        <v>0.6</v>
      </c>
      <c r="M379" s="10">
        <f>K379*(1+L379)</f>
        <v/>
      </c>
      <c r="N379" s="7" t="inlineStr">
        <is>
          <t>já existia</t>
        </is>
      </c>
      <c r="O379" s="12" t="inlineStr">
        <is>
          <t>Sem custo cadastrado da Alquimia para esta gramatura — usado apenas o valor da Marfel.</t>
        </is>
      </c>
    </row>
    <row r="380">
      <c r="A380" s="6" t="inlineStr">
        <is>
          <t>Alça Vazada</t>
        </is>
      </c>
      <c r="B380" s="7" t="inlineStr">
        <is>
          <t>40x50</t>
        </is>
      </c>
      <c r="C380" s="7" t="inlineStr">
        <is>
          <t>0,10</t>
        </is>
      </c>
      <c r="D380" s="7" t="inlineStr">
        <is>
          <t>600–699</t>
        </is>
      </c>
      <c r="E380" s="7" t="n">
        <v>600</v>
      </c>
      <c r="F380" s="8" t="n">
        <v>0.6840000000000001</v>
      </c>
      <c r="G380" s="8" t="n">
        <v>0</v>
      </c>
      <c r="H380" s="8" t="n">
        <v>0.6840000000000001</v>
      </c>
      <c r="I380" s="9" t="inlineStr">
        <is>
          <t>Marfel (unico)</t>
        </is>
      </c>
      <c r="J380" s="8" t="n">
        <v>0.3</v>
      </c>
      <c r="K380" s="10">
        <f>H380+J380</f>
        <v/>
      </c>
      <c r="L380" s="11" t="n">
        <v>0.57</v>
      </c>
      <c r="M380" s="10">
        <f>K380*(1+L380)</f>
        <v/>
      </c>
      <c r="N380" s="7" t="inlineStr">
        <is>
          <t>já existia</t>
        </is>
      </c>
      <c r="O380" s="12" t="inlineStr">
        <is>
          <t>Sem custo cadastrado da Alquimia para esta gramatura — usado apenas o valor da Marfel.</t>
        </is>
      </c>
    </row>
    <row r="381">
      <c r="A381" s="6" t="inlineStr">
        <is>
          <t>Alça Vazada</t>
        </is>
      </c>
      <c r="B381" s="7" t="inlineStr">
        <is>
          <t>40x50</t>
        </is>
      </c>
      <c r="C381" s="7" t="inlineStr">
        <is>
          <t>0,10</t>
        </is>
      </c>
      <c r="D381" s="7" t="inlineStr">
        <is>
          <t>700–799</t>
        </is>
      </c>
      <c r="E381" s="7" t="n">
        <v>700</v>
      </c>
      <c r="F381" s="8" t="n">
        <v>0.6840000000000001</v>
      </c>
      <c r="G381" s="8" t="n">
        <v>0</v>
      </c>
      <c r="H381" s="8" t="n">
        <v>0.6840000000000001</v>
      </c>
      <c r="I381" s="9" t="inlineStr">
        <is>
          <t>Marfel (unico)</t>
        </is>
      </c>
      <c r="J381" s="8" t="n">
        <v>0.3</v>
      </c>
      <c r="K381" s="10">
        <f>H381+J381</f>
        <v/>
      </c>
      <c r="L381" s="11" t="n">
        <v>0.54</v>
      </c>
      <c r="M381" s="10">
        <f>K381*(1+L381)</f>
        <v/>
      </c>
      <c r="N381" s="7" t="inlineStr">
        <is>
          <t>já existia</t>
        </is>
      </c>
      <c r="O381" s="12" t="inlineStr">
        <is>
          <t>Sem custo cadastrado da Alquimia para esta gramatura — usado apenas o valor da Marfel.</t>
        </is>
      </c>
    </row>
    <row r="382">
      <c r="A382" s="6" t="inlineStr">
        <is>
          <t>Alça Vazada</t>
        </is>
      </c>
      <c r="B382" s="7" t="inlineStr">
        <is>
          <t>40x50</t>
        </is>
      </c>
      <c r="C382" s="7" t="inlineStr">
        <is>
          <t>0,10</t>
        </is>
      </c>
      <c r="D382" s="7" t="inlineStr">
        <is>
          <t>800–899</t>
        </is>
      </c>
      <c r="E382" s="7" t="n">
        <v>800</v>
      </c>
      <c r="F382" s="8" t="n">
        <v>0.6840000000000001</v>
      </c>
      <c r="G382" s="8" t="n">
        <v>0</v>
      </c>
      <c r="H382" s="8" t="n">
        <v>0.6840000000000001</v>
      </c>
      <c r="I382" s="9" t="inlineStr">
        <is>
          <t>Marfel (unico)</t>
        </is>
      </c>
      <c r="J382" s="8" t="n">
        <v>0.3</v>
      </c>
      <c r="K382" s="10">
        <f>H382+J382</f>
        <v/>
      </c>
      <c r="L382" s="11" t="n">
        <v>0.51</v>
      </c>
      <c r="M382" s="10">
        <f>K382*(1+L382)</f>
        <v/>
      </c>
      <c r="N382" s="7" t="inlineStr">
        <is>
          <t>já existia</t>
        </is>
      </c>
      <c r="O382" s="12" t="inlineStr">
        <is>
          <t>Sem custo cadastrado da Alquimia para esta gramatura — usado apenas o valor da Marfel.</t>
        </is>
      </c>
    </row>
    <row r="383">
      <c r="A383" s="6" t="inlineStr">
        <is>
          <t>Alça Vazada</t>
        </is>
      </c>
      <c r="B383" s="7" t="inlineStr">
        <is>
          <t>40x50</t>
        </is>
      </c>
      <c r="C383" s="7" t="inlineStr">
        <is>
          <t>0,10</t>
        </is>
      </c>
      <c r="D383" s="7" t="inlineStr">
        <is>
          <t>900–999</t>
        </is>
      </c>
      <c r="E383" s="7" t="n">
        <v>900</v>
      </c>
      <c r="F383" s="8" t="n">
        <v>0.6840000000000001</v>
      </c>
      <c r="G383" s="8" t="n">
        <v>0</v>
      </c>
      <c r="H383" s="8" t="n">
        <v>0.6840000000000001</v>
      </c>
      <c r="I383" s="9" t="inlineStr">
        <is>
          <t>Marfel (unico)</t>
        </is>
      </c>
      <c r="J383" s="8" t="n">
        <v>0.3</v>
      </c>
      <c r="K383" s="10">
        <f>H383+J383</f>
        <v/>
      </c>
      <c r="L383" s="11" t="n">
        <v>0.48</v>
      </c>
      <c r="M383" s="10">
        <f>K383*(1+L383)</f>
        <v/>
      </c>
      <c r="N383" s="7" t="inlineStr">
        <is>
          <t>já existia</t>
        </is>
      </c>
      <c r="O383" s="12" t="inlineStr">
        <is>
          <t>Sem custo cadastrado da Alquimia para esta gramatura — usado apenas o valor da Marfel.</t>
        </is>
      </c>
    </row>
    <row r="384">
      <c r="A384" s="6" t="inlineStr">
        <is>
          <t>Alça Vazada</t>
        </is>
      </c>
      <c r="B384" s="7" t="inlineStr">
        <is>
          <t>40x50</t>
        </is>
      </c>
      <c r="C384" s="7" t="inlineStr">
        <is>
          <t>0,10</t>
        </is>
      </c>
      <c r="D384" s="7" t="inlineStr">
        <is>
          <t>1000+</t>
        </is>
      </c>
      <c r="E384" s="7" t="n">
        <v>1000</v>
      </c>
      <c r="F384" s="8" t="n">
        <v>0.6840000000000001</v>
      </c>
      <c r="G384" s="8" t="n">
        <v>0</v>
      </c>
      <c r="H384" s="8" t="n">
        <v>0.6840000000000001</v>
      </c>
      <c r="I384" s="9" t="inlineStr">
        <is>
          <t>Marfel (unico)</t>
        </is>
      </c>
      <c r="J384" s="8" t="n">
        <v>0.3</v>
      </c>
      <c r="K384" s="10">
        <f>H384+J384</f>
        <v/>
      </c>
      <c r="L384" s="11" t="n">
        <v>0.4</v>
      </c>
      <c r="M384" s="10">
        <f>K384*(1+L384)</f>
        <v/>
      </c>
      <c r="N384" s="7" t="inlineStr">
        <is>
          <t>já existia</t>
        </is>
      </c>
      <c r="O384" s="12" t="inlineStr">
        <is>
          <t>Sem custo cadastrado da Alquimia para esta gramatura — usado apenas o valor da Marfel.</t>
        </is>
      </c>
    </row>
    <row r="385">
      <c r="A385" s="6" t="inlineStr">
        <is>
          <t>Alça Vazada</t>
        </is>
      </c>
      <c r="B385" s="7" t="inlineStr">
        <is>
          <t>40x50</t>
        </is>
      </c>
      <c r="C385" s="7" t="inlineStr">
        <is>
          <t>0,12</t>
        </is>
      </c>
      <c r="D385" s="7" t="inlineStr">
        <is>
          <t>100–199</t>
        </is>
      </c>
      <c r="E385" s="7" t="n">
        <v>100</v>
      </c>
      <c r="F385" s="8" t="n">
        <v>0.8208</v>
      </c>
      <c r="G385" s="8" t="n">
        <v>0</v>
      </c>
      <c r="H385" s="8" t="n">
        <v>0.8208</v>
      </c>
      <c r="I385" s="9" t="inlineStr">
        <is>
          <t>Marfel (unico)</t>
        </is>
      </c>
      <c r="J385" s="8" t="n">
        <v>0.3</v>
      </c>
      <c r="K385" s="10">
        <f>H385+J385</f>
        <v/>
      </c>
      <c r="L385" s="11" t="n">
        <v>1</v>
      </c>
      <c r="M385" s="10">
        <f>K385*(1+L385)</f>
        <v/>
      </c>
      <c r="N385" s="7" t="inlineStr">
        <is>
          <t>NOVO (Tabela Marfel V01JUN26)</t>
        </is>
      </c>
      <c r="O385" s="12" t="inlineStr">
        <is>
          <t>Sem custo cadastrado da Alquimia para esta gramatura — usado apenas o valor da Marfel.</t>
        </is>
      </c>
    </row>
    <row r="386">
      <c r="A386" s="6" t="inlineStr">
        <is>
          <t>Alça Vazada</t>
        </is>
      </c>
      <c r="B386" s="7" t="inlineStr">
        <is>
          <t>40x50</t>
        </is>
      </c>
      <c r="C386" s="7" t="inlineStr">
        <is>
          <t>0,12</t>
        </is>
      </c>
      <c r="D386" s="7" t="inlineStr">
        <is>
          <t>200–299</t>
        </is>
      </c>
      <c r="E386" s="7" t="n">
        <v>200</v>
      </c>
      <c r="F386" s="8" t="n">
        <v>0.8208</v>
      </c>
      <c r="G386" s="8" t="n">
        <v>0</v>
      </c>
      <c r="H386" s="8" t="n">
        <v>0.8208</v>
      </c>
      <c r="I386" s="9" t="inlineStr">
        <is>
          <t>Marfel (unico)</t>
        </is>
      </c>
      <c r="J386" s="8" t="n">
        <v>0.3</v>
      </c>
      <c r="K386" s="10">
        <f>H386+J386</f>
        <v/>
      </c>
      <c r="L386" s="11" t="n">
        <v>0.75</v>
      </c>
      <c r="M386" s="10">
        <f>K386*(1+L386)</f>
        <v/>
      </c>
      <c r="N386" s="7" t="inlineStr">
        <is>
          <t>NOVO (Tabela Marfel V01JUN26)</t>
        </is>
      </c>
      <c r="O386" s="12" t="inlineStr">
        <is>
          <t>Sem custo cadastrado da Alquimia para esta gramatura — usado apenas o valor da Marfel.</t>
        </is>
      </c>
    </row>
    <row r="387">
      <c r="A387" s="6" t="inlineStr">
        <is>
          <t>Alça Vazada</t>
        </is>
      </c>
      <c r="B387" s="7" t="inlineStr">
        <is>
          <t>40x50</t>
        </is>
      </c>
      <c r="C387" s="7" t="inlineStr">
        <is>
          <t>0,12</t>
        </is>
      </c>
      <c r="D387" s="7" t="inlineStr">
        <is>
          <t>300–399</t>
        </is>
      </c>
      <c r="E387" s="7" t="n">
        <v>300</v>
      </c>
      <c r="F387" s="8" t="n">
        <v>0.8208</v>
      </c>
      <c r="G387" s="8" t="n">
        <v>0</v>
      </c>
      <c r="H387" s="8" t="n">
        <v>0.8208</v>
      </c>
      <c r="I387" s="9" t="inlineStr">
        <is>
          <t>Marfel (unico)</t>
        </is>
      </c>
      <c r="J387" s="8" t="n">
        <v>0.3</v>
      </c>
      <c r="K387" s="10">
        <f>H387+J387</f>
        <v/>
      </c>
      <c r="L387" s="11" t="n">
        <v>0.7</v>
      </c>
      <c r="M387" s="10">
        <f>K387*(1+L387)</f>
        <v/>
      </c>
      <c r="N387" s="7" t="inlineStr">
        <is>
          <t>NOVO (Tabela Marfel V01JUN26)</t>
        </is>
      </c>
      <c r="O387" s="12" t="inlineStr">
        <is>
          <t>Sem custo cadastrado da Alquimia para esta gramatura — usado apenas o valor da Marfel.</t>
        </is>
      </c>
    </row>
    <row r="388">
      <c r="A388" s="6" t="inlineStr">
        <is>
          <t>Alça Vazada</t>
        </is>
      </c>
      <c r="B388" s="7" t="inlineStr">
        <is>
          <t>40x50</t>
        </is>
      </c>
      <c r="C388" s="7" t="inlineStr">
        <is>
          <t>0,12</t>
        </is>
      </c>
      <c r="D388" s="7" t="inlineStr">
        <is>
          <t>400–499</t>
        </is>
      </c>
      <c r="E388" s="7" t="n">
        <v>400</v>
      </c>
      <c r="F388" s="8" t="n">
        <v>0.8208</v>
      </c>
      <c r="G388" s="8" t="n">
        <v>0</v>
      </c>
      <c r="H388" s="8" t="n">
        <v>0.8208</v>
      </c>
      <c r="I388" s="9" t="inlineStr">
        <is>
          <t>Marfel (unico)</t>
        </is>
      </c>
      <c r="J388" s="8" t="n">
        <v>0.3</v>
      </c>
      <c r="K388" s="10">
        <f>H388+J388</f>
        <v/>
      </c>
      <c r="L388" s="11" t="n">
        <v>0.65</v>
      </c>
      <c r="M388" s="10">
        <f>K388*(1+L388)</f>
        <v/>
      </c>
      <c r="N388" s="7" t="inlineStr">
        <is>
          <t>NOVO (Tabela Marfel V01JUN26)</t>
        </is>
      </c>
      <c r="O388" s="12" t="inlineStr">
        <is>
          <t>Sem custo cadastrado da Alquimia para esta gramatura — usado apenas o valor da Marfel.</t>
        </is>
      </c>
    </row>
    <row r="389">
      <c r="A389" s="6" t="inlineStr">
        <is>
          <t>Alça Vazada</t>
        </is>
      </c>
      <c r="B389" s="7" t="inlineStr">
        <is>
          <t>40x50</t>
        </is>
      </c>
      <c r="C389" s="7" t="inlineStr">
        <is>
          <t>0,12</t>
        </is>
      </c>
      <c r="D389" s="7" t="inlineStr">
        <is>
          <t>500–599</t>
        </is>
      </c>
      <c r="E389" s="7" t="n">
        <v>500</v>
      </c>
      <c r="F389" s="8" t="n">
        <v>0.8208</v>
      </c>
      <c r="G389" s="8" t="n">
        <v>0</v>
      </c>
      <c r="H389" s="8" t="n">
        <v>0.8208</v>
      </c>
      <c r="I389" s="9" t="inlineStr">
        <is>
          <t>Marfel (unico)</t>
        </is>
      </c>
      <c r="J389" s="8" t="n">
        <v>0.3</v>
      </c>
      <c r="K389" s="10">
        <f>H389+J389</f>
        <v/>
      </c>
      <c r="L389" s="11" t="n">
        <v>0.6</v>
      </c>
      <c r="M389" s="10">
        <f>K389*(1+L389)</f>
        <v/>
      </c>
      <c r="N389" s="7" t="inlineStr">
        <is>
          <t>NOVO (Tabela Marfel V01JUN26)</t>
        </is>
      </c>
      <c r="O389" s="12" t="inlineStr">
        <is>
          <t>Sem custo cadastrado da Alquimia para esta gramatura — usado apenas o valor da Marfel.</t>
        </is>
      </c>
    </row>
    <row r="390">
      <c r="A390" s="6" t="inlineStr">
        <is>
          <t>Alça Vazada</t>
        </is>
      </c>
      <c r="B390" s="7" t="inlineStr">
        <is>
          <t>40x50</t>
        </is>
      </c>
      <c r="C390" s="7" t="inlineStr">
        <is>
          <t>0,12</t>
        </is>
      </c>
      <c r="D390" s="7" t="inlineStr">
        <is>
          <t>600–699</t>
        </is>
      </c>
      <c r="E390" s="7" t="n">
        <v>600</v>
      </c>
      <c r="F390" s="8" t="n">
        <v>0.8208</v>
      </c>
      <c r="G390" s="8" t="n">
        <v>0</v>
      </c>
      <c r="H390" s="8" t="n">
        <v>0.8208</v>
      </c>
      <c r="I390" s="9" t="inlineStr">
        <is>
          <t>Marfel (unico)</t>
        </is>
      </c>
      <c r="J390" s="8" t="n">
        <v>0.3</v>
      </c>
      <c r="K390" s="10">
        <f>H390+J390</f>
        <v/>
      </c>
      <c r="L390" s="11" t="n">
        <v>0.57</v>
      </c>
      <c r="M390" s="10">
        <f>K390*(1+L390)</f>
        <v/>
      </c>
      <c r="N390" s="7" t="inlineStr">
        <is>
          <t>NOVO (Tabela Marfel V01JUN26)</t>
        </is>
      </c>
      <c r="O390" s="12" t="inlineStr">
        <is>
          <t>Sem custo cadastrado da Alquimia para esta gramatura — usado apenas o valor da Marfel.</t>
        </is>
      </c>
    </row>
    <row r="391">
      <c r="A391" s="6" t="inlineStr">
        <is>
          <t>Alça Vazada</t>
        </is>
      </c>
      <c r="B391" s="7" t="inlineStr">
        <is>
          <t>40x50</t>
        </is>
      </c>
      <c r="C391" s="7" t="inlineStr">
        <is>
          <t>0,12</t>
        </is>
      </c>
      <c r="D391" s="7" t="inlineStr">
        <is>
          <t>700–799</t>
        </is>
      </c>
      <c r="E391" s="7" t="n">
        <v>700</v>
      </c>
      <c r="F391" s="8" t="n">
        <v>0.8208</v>
      </c>
      <c r="G391" s="8" t="n">
        <v>0</v>
      </c>
      <c r="H391" s="8" t="n">
        <v>0.8208</v>
      </c>
      <c r="I391" s="9" t="inlineStr">
        <is>
          <t>Marfel (unico)</t>
        </is>
      </c>
      <c r="J391" s="8" t="n">
        <v>0.3</v>
      </c>
      <c r="K391" s="10">
        <f>H391+J391</f>
        <v/>
      </c>
      <c r="L391" s="11" t="n">
        <v>0.54</v>
      </c>
      <c r="M391" s="10">
        <f>K391*(1+L391)</f>
        <v/>
      </c>
      <c r="N391" s="7" t="inlineStr">
        <is>
          <t>NOVO (Tabela Marfel V01JUN26)</t>
        </is>
      </c>
      <c r="O391" s="12" t="inlineStr">
        <is>
          <t>Sem custo cadastrado da Alquimia para esta gramatura — usado apenas o valor da Marfel.</t>
        </is>
      </c>
    </row>
    <row r="392">
      <c r="A392" s="6" t="inlineStr">
        <is>
          <t>Alça Vazada</t>
        </is>
      </c>
      <c r="B392" s="7" t="inlineStr">
        <is>
          <t>40x50</t>
        </is>
      </c>
      <c r="C392" s="7" t="inlineStr">
        <is>
          <t>0,12</t>
        </is>
      </c>
      <c r="D392" s="7" t="inlineStr">
        <is>
          <t>800–899</t>
        </is>
      </c>
      <c r="E392" s="7" t="n">
        <v>800</v>
      </c>
      <c r="F392" s="8" t="n">
        <v>0.8208</v>
      </c>
      <c r="G392" s="8" t="n">
        <v>0</v>
      </c>
      <c r="H392" s="8" t="n">
        <v>0.8208</v>
      </c>
      <c r="I392" s="9" t="inlineStr">
        <is>
          <t>Marfel (unico)</t>
        </is>
      </c>
      <c r="J392" s="8" t="n">
        <v>0.3</v>
      </c>
      <c r="K392" s="10">
        <f>H392+J392</f>
        <v/>
      </c>
      <c r="L392" s="11" t="n">
        <v>0.51</v>
      </c>
      <c r="M392" s="10">
        <f>K392*(1+L392)</f>
        <v/>
      </c>
      <c r="N392" s="7" t="inlineStr">
        <is>
          <t>NOVO (Tabela Marfel V01JUN26)</t>
        </is>
      </c>
      <c r="O392" s="12" t="inlineStr">
        <is>
          <t>Sem custo cadastrado da Alquimia para esta gramatura — usado apenas o valor da Marfel.</t>
        </is>
      </c>
    </row>
    <row r="393">
      <c r="A393" s="6" t="inlineStr">
        <is>
          <t>Alça Vazada</t>
        </is>
      </c>
      <c r="B393" s="7" t="inlineStr">
        <is>
          <t>40x50</t>
        </is>
      </c>
      <c r="C393" s="7" t="inlineStr">
        <is>
          <t>0,12</t>
        </is>
      </c>
      <c r="D393" s="7" t="inlineStr">
        <is>
          <t>900–999</t>
        </is>
      </c>
      <c r="E393" s="7" t="n">
        <v>900</v>
      </c>
      <c r="F393" s="8" t="n">
        <v>0.8208</v>
      </c>
      <c r="G393" s="8" t="n">
        <v>0</v>
      </c>
      <c r="H393" s="8" t="n">
        <v>0.8208</v>
      </c>
      <c r="I393" s="9" t="inlineStr">
        <is>
          <t>Marfel (unico)</t>
        </is>
      </c>
      <c r="J393" s="8" t="n">
        <v>0.3</v>
      </c>
      <c r="K393" s="10">
        <f>H393+J393</f>
        <v/>
      </c>
      <c r="L393" s="11" t="n">
        <v>0.48</v>
      </c>
      <c r="M393" s="10">
        <f>K393*(1+L393)</f>
        <v/>
      </c>
      <c r="N393" s="7" t="inlineStr">
        <is>
          <t>NOVO (Tabela Marfel V01JUN26)</t>
        </is>
      </c>
      <c r="O393" s="12" t="inlineStr">
        <is>
          <t>Sem custo cadastrado da Alquimia para esta gramatura — usado apenas o valor da Marfel.</t>
        </is>
      </c>
    </row>
    <row r="394">
      <c r="A394" s="6" t="inlineStr">
        <is>
          <t>Alça Vazada</t>
        </is>
      </c>
      <c r="B394" s="7" t="inlineStr">
        <is>
          <t>40x50</t>
        </is>
      </c>
      <c r="C394" s="7" t="inlineStr">
        <is>
          <t>0,12</t>
        </is>
      </c>
      <c r="D394" s="7" t="inlineStr">
        <is>
          <t>1000+</t>
        </is>
      </c>
      <c r="E394" s="7" t="n">
        <v>1000</v>
      </c>
      <c r="F394" s="8" t="n">
        <v>0.8208</v>
      </c>
      <c r="G394" s="8" t="n">
        <v>0</v>
      </c>
      <c r="H394" s="8" t="n">
        <v>0.8208</v>
      </c>
      <c r="I394" s="9" t="inlineStr">
        <is>
          <t>Marfel (unico)</t>
        </is>
      </c>
      <c r="J394" s="8" t="n">
        <v>0.3</v>
      </c>
      <c r="K394" s="10">
        <f>H394+J394</f>
        <v/>
      </c>
      <c r="L394" s="11" t="n">
        <v>0.4</v>
      </c>
      <c r="M394" s="10">
        <f>K394*(1+L394)</f>
        <v/>
      </c>
      <c r="N394" s="7" t="inlineStr">
        <is>
          <t>NOVO (Tabela Marfel V01JUN26)</t>
        </is>
      </c>
      <c r="O394" s="12" t="inlineStr">
        <is>
          <t>Sem custo cadastrado da Alquimia para esta gramatura — usado apenas o valor da Marfel.</t>
        </is>
      </c>
    </row>
    <row r="395">
      <c r="A395" s="6" t="inlineStr">
        <is>
          <t>Alça Vazada</t>
        </is>
      </c>
      <c r="B395" s="7" t="inlineStr">
        <is>
          <t>45x60</t>
        </is>
      </c>
      <c r="C395" s="7" t="inlineStr">
        <is>
          <t>0,12</t>
        </is>
      </c>
      <c r="D395" s="7" t="inlineStr">
        <is>
          <t>100–199</t>
        </is>
      </c>
      <c r="E395" s="7" t="n">
        <v>100</v>
      </c>
      <c r="F395" s="8" t="n">
        <v>1.1115</v>
      </c>
      <c r="G395" s="8" t="n">
        <v>0</v>
      </c>
      <c r="H395" s="8" t="n">
        <v>1.1115</v>
      </c>
      <c r="I395" s="9" t="inlineStr">
        <is>
          <t>Marfel (unico)</t>
        </is>
      </c>
      <c r="J395" s="8" t="n">
        <v>0.3</v>
      </c>
      <c r="K395" s="10">
        <f>H395+J395</f>
        <v/>
      </c>
      <c r="L395" s="11" t="n">
        <v>1</v>
      </c>
      <c r="M395" s="10">
        <f>K395*(1+L395)</f>
        <v/>
      </c>
      <c r="N395" s="7" t="inlineStr">
        <is>
          <t>já existia</t>
        </is>
      </c>
      <c r="O395" s="12" t="inlineStr">
        <is>
          <t>Sem custo cadastrado da Alquimia para esta gramatura — usado apenas o valor da Marfel.</t>
        </is>
      </c>
    </row>
    <row r="396">
      <c r="A396" s="6" t="inlineStr">
        <is>
          <t>Alça Vazada</t>
        </is>
      </c>
      <c r="B396" s="7" t="inlineStr">
        <is>
          <t>45x60</t>
        </is>
      </c>
      <c r="C396" s="7" t="inlineStr">
        <is>
          <t>0,12</t>
        </is>
      </c>
      <c r="D396" s="7" t="inlineStr">
        <is>
          <t>200–299</t>
        </is>
      </c>
      <c r="E396" s="7" t="n">
        <v>200</v>
      </c>
      <c r="F396" s="8" t="n">
        <v>1.1115</v>
      </c>
      <c r="G396" s="8" t="n">
        <v>0</v>
      </c>
      <c r="H396" s="8" t="n">
        <v>1.1115</v>
      </c>
      <c r="I396" s="9" t="inlineStr">
        <is>
          <t>Marfel (unico)</t>
        </is>
      </c>
      <c r="J396" s="8" t="n">
        <v>0.3</v>
      </c>
      <c r="K396" s="10">
        <f>H396+J396</f>
        <v/>
      </c>
      <c r="L396" s="11" t="n">
        <v>0.75</v>
      </c>
      <c r="M396" s="10">
        <f>K396*(1+L396)</f>
        <v/>
      </c>
      <c r="N396" s="7" t="inlineStr">
        <is>
          <t>já existia</t>
        </is>
      </c>
      <c r="O396" s="12" t="inlineStr">
        <is>
          <t>Sem custo cadastrado da Alquimia para esta gramatura — usado apenas o valor da Marfel.</t>
        </is>
      </c>
    </row>
    <row r="397">
      <c r="A397" s="6" t="inlineStr">
        <is>
          <t>Alça Vazada</t>
        </is>
      </c>
      <c r="B397" s="7" t="inlineStr">
        <is>
          <t>45x60</t>
        </is>
      </c>
      <c r="C397" s="7" t="inlineStr">
        <is>
          <t>0,12</t>
        </is>
      </c>
      <c r="D397" s="7" t="inlineStr">
        <is>
          <t>300–399</t>
        </is>
      </c>
      <c r="E397" s="7" t="n">
        <v>300</v>
      </c>
      <c r="F397" s="8" t="n">
        <v>1.1115</v>
      </c>
      <c r="G397" s="8" t="n">
        <v>0</v>
      </c>
      <c r="H397" s="8" t="n">
        <v>1.1115</v>
      </c>
      <c r="I397" s="9" t="inlineStr">
        <is>
          <t>Marfel (unico)</t>
        </is>
      </c>
      <c r="J397" s="8" t="n">
        <v>0.3</v>
      </c>
      <c r="K397" s="10">
        <f>H397+J397</f>
        <v/>
      </c>
      <c r="L397" s="11" t="n">
        <v>0.7</v>
      </c>
      <c r="M397" s="10">
        <f>K397*(1+L397)</f>
        <v/>
      </c>
      <c r="N397" s="7" t="inlineStr">
        <is>
          <t>já existia</t>
        </is>
      </c>
      <c r="O397" s="12" t="inlineStr">
        <is>
          <t>Sem custo cadastrado da Alquimia para esta gramatura — usado apenas o valor da Marfel.</t>
        </is>
      </c>
    </row>
    <row r="398">
      <c r="A398" s="6" t="inlineStr">
        <is>
          <t>Alça Vazada</t>
        </is>
      </c>
      <c r="B398" s="7" t="inlineStr">
        <is>
          <t>45x60</t>
        </is>
      </c>
      <c r="C398" s="7" t="inlineStr">
        <is>
          <t>0,12</t>
        </is>
      </c>
      <c r="D398" s="7" t="inlineStr">
        <is>
          <t>400–499</t>
        </is>
      </c>
      <c r="E398" s="7" t="n">
        <v>400</v>
      </c>
      <c r="F398" s="8" t="n">
        <v>1.1115</v>
      </c>
      <c r="G398" s="8" t="n">
        <v>0</v>
      </c>
      <c r="H398" s="8" t="n">
        <v>1.1115</v>
      </c>
      <c r="I398" s="9" t="inlineStr">
        <is>
          <t>Marfel (unico)</t>
        </is>
      </c>
      <c r="J398" s="8" t="n">
        <v>0.3</v>
      </c>
      <c r="K398" s="10">
        <f>H398+J398</f>
        <v/>
      </c>
      <c r="L398" s="11" t="n">
        <v>0.65</v>
      </c>
      <c r="M398" s="10">
        <f>K398*(1+L398)</f>
        <v/>
      </c>
      <c r="N398" s="7" t="inlineStr">
        <is>
          <t>já existia</t>
        </is>
      </c>
      <c r="O398" s="12" t="inlineStr">
        <is>
          <t>Sem custo cadastrado da Alquimia para esta gramatura — usado apenas o valor da Marfel.</t>
        </is>
      </c>
    </row>
    <row r="399">
      <c r="A399" s="6" t="inlineStr">
        <is>
          <t>Alça Vazada</t>
        </is>
      </c>
      <c r="B399" s="7" t="inlineStr">
        <is>
          <t>45x60</t>
        </is>
      </c>
      <c r="C399" s="7" t="inlineStr">
        <is>
          <t>0,12</t>
        </is>
      </c>
      <c r="D399" s="7" t="inlineStr">
        <is>
          <t>500–599</t>
        </is>
      </c>
      <c r="E399" s="7" t="n">
        <v>500</v>
      </c>
      <c r="F399" s="8" t="n">
        <v>1.1115</v>
      </c>
      <c r="G399" s="8" t="n">
        <v>0</v>
      </c>
      <c r="H399" s="8" t="n">
        <v>1.1115</v>
      </c>
      <c r="I399" s="9" t="inlineStr">
        <is>
          <t>Marfel (unico)</t>
        </is>
      </c>
      <c r="J399" s="8" t="n">
        <v>0.3</v>
      </c>
      <c r="K399" s="10">
        <f>H399+J399</f>
        <v/>
      </c>
      <c r="L399" s="11" t="n">
        <v>0.6</v>
      </c>
      <c r="M399" s="10">
        <f>K399*(1+L399)</f>
        <v/>
      </c>
      <c r="N399" s="7" t="inlineStr">
        <is>
          <t>já existia</t>
        </is>
      </c>
      <c r="O399" s="12" t="inlineStr">
        <is>
          <t>Sem custo cadastrado da Alquimia para esta gramatura — usado apenas o valor da Marfel.</t>
        </is>
      </c>
    </row>
    <row r="400">
      <c r="A400" s="6" t="inlineStr">
        <is>
          <t>Alça Vazada</t>
        </is>
      </c>
      <c r="B400" s="7" t="inlineStr">
        <is>
          <t>45x60</t>
        </is>
      </c>
      <c r="C400" s="7" t="inlineStr">
        <is>
          <t>0,12</t>
        </is>
      </c>
      <c r="D400" s="7" t="inlineStr">
        <is>
          <t>600–699</t>
        </is>
      </c>
      <c r="E400" s="7" t="n">
        <v>600</v>
      </c>
      <c r="F400" s="8" t="n">
        <v>1.1115</v>
      </c>
      <c r="G400" s="8" t="n">
        <v>0</v>
      </c>
      <c r="H400" s="8" t="n">
        <v>1.1115</v>
      </c>
      <c r="I400" s="9" t="inlineStr">
        <is>
          <t>Marfel (unico)</t>
        </is>
      </c>
      <c r="J400" s="8" t="n">
        <v>0.3</v>
      </c>
      <c r="K400" s="10">
        <f>H400+J400</f>
        <v/>
      </c>
      <c r="L400" s="11" t="n">
        <v>0.57</v>
      </c>
      <c r="M400" s="10">
        <f>K400*(1+L400)</f>
        <v/>
      </c>
      <c r="N400" s="7" t="inlineStr">
        <is>
          <t>já existia</t>
        </is>
      </c>
      <c r="O400" s="12" t="inlineStr">
        <is>
          <t>Sem custo cadastrado da Alquimia para esta gramatura — usado apenas o valor da Marfel.</t>
        </is>
      </c>
    </row>
    <row r="401">
      <c r="A401" s="6" t="inlineStr">
        <is>
          <t>Alça Vazada</t>
        </is>
      </c>
      <c r="B401" s="7" t="inlineStr">
        <is>
          <t>45x60</t>
        </is>
      </c>
      <c r="C401" s="7" t="inlineStr">
        <is>
          <t>0,12</t>
        </is>
      </c>
      <c r="D401" s="7" t="inlineStr">
        <is>
          <t>700–799</t>
        </is>
      </c>
      <c r="E401" s="7" t="n">
        <v>700</v>
      </c>
      <c r="F401" s="8" t="n">
        <v>1.1115</v>
      </c>
      <c r="G401" s="8" t="n">
        <v>0</v>
      </c>
      <c r="H401" s="8" t="n">
        <v>1.1115</v>
      </c>
      <c r="I401" s="9" t="inlineStr">
        <is>
          <t>Marfel (unico)</t>
        </is>
      </c>
      <c r="J401" s="8" t="n">
        <v>0.3</v>
      </c>
      <c r="K401" s="10">
        <f>H401+J401</f>
        <v/>
      </c>
      <c r="L401" s="11" t="n">
        <v>0.54</v>
      </c>
      <c r="M401" s="10">
        <f>K401*(1+L401)</f>
        <v/>
      </c>
      <c r="N401" s="7" t="inlineStr">
        <is>
          <t>já existia</t>
        </is>
      </c>
      <c r="O401" s="12" t="inlineStr">
        <is>
          <t>Sem custo cadastrado da Alquimia para esta gramatura — usado apenas o valor da Marfel.</t>
        </is>
      </c>
    </row>
    <row r="402">
      <c r="A402" s="6" t="inlineStr">
        <is>
          <t>Alça Vazada</t>
        </is>
      </c>
      <c r="B402" s="7" t="inlineStr">
        <is>
          <t>45x60</t>
        </is>
      </c>
      <c r="C402" s="7" t="inlineStr">
        <is>
          <t>0,12</t>
        </is>
      </c>
      <c r="D402" s="7" t="inlineStr">
        <is>
          <t>800–899</t>
        </is>
      </c>
      <c r="E402" s="7" t="n">
        <v>800</v>
      </c>
      <c r="F402" s="8" t="n">
        <v>1.1115</v>
      </c>
      <c r="G402" s="8" t="n">
        <v>0</v>
      </c>
      <c r="H402" s="8" t="n">
        <v>1.1115</v>
      </c>
      <c r="I402" s="9" t="inlineStr">
        <is>
          <t>Marfel (unico)</t>
        </is>
      </c>
      <c r="J402" s="8" t="n">
        <v>0.3</v>
      </c>
      <c r="K402" s="10">
        <f>H402+J402</f>
        <v/>
      </c>
      <c r="L402" s="11" t="n">
        <v>0.51</v>
      </c>
      <c r="M402" s="10">
        <f>K402*(1+L402)</f>
        <v/>
      </c>
      <c r="N402" s="7" t="inlineStr">
        <is>
          <t>já existia</t>
        </is>
      </c>
      <c r="O402" s="12" t="inlineStr">
        <is>
          <t>Sem custo cadastrado da Alquimia para esta gramatura — usado apenas o valor da Marfel.</t>
        </is>
      </c>
    </row>
    <row r="403">
      <c r="A403" s="6" t="inlineStr">
        <is>
          <t>Alça Vazada</t>
        </is>
      </c>
      <c r="B403" s="7" t="inlineStr">
        <is>
          <t>45x60</t>
        </is>
      </c>
      <c r="C403" s="7" t="inlineStr">
        <is>
          <t>0,12</t>
        </is>
      </c>
      <c r="D403" s="7" t="inlineStr">
        <is>
          <t>900–999</t>
        </is>
      </c>
      <c r="E403" s="7" t="n">
        <v>900</v>
      </c>
      <c r="F403" s="8" t="n">
        <v>1.1115</v>
      </c>
      <c r="G403" s="8" t="n">
        <v>0</v>
      </c>
      <c r="H403" s="8" t="n">
        <v>1.1115</v>
      </c>
      <c r="I403" s="9" t="inlineStr">
        <is>
          <t>Marfel (unico)</t>
        </is>
      </c>
      <c r="J403" s="8" t="n">
        <v>0.3</v>
      </c>
      <c r="K403" s="10">
        <f>H403+J403</f>
        <v/>
      </c>
      <c r="L403" s="11" t="n">
        <v>0.48</v>
      </c>
      <c r="M403" s="10">
        <f>K403*(1+L403)</f>
        <v/>
      </c>
      <c r="N403" s="7" t="inlineStr">
        <is>
          <t>já existia</t>
        </is>
      </c>
      <c r="O403" s="12" t="inlineStr">
        <is>
          <t>Sem custo cadastrado da Alquimia para esta gramatura — usado apenas o valor da Marfel.</t>
        </is>
      </c>
    </row>
    <row r="404">
      <c r="A404" s="6" t="inlineStr">
        <is>
          <t>Alça Vazada</t>
        </is>
      </c>
      <c r="B404" s="7" t="inlineStr">
        <is>
          <t>45x60</t>
        </is>
      </c>
      <c r="C404" s="7" t="inlineStr">
        <is>
          <t>0,12</t>
        </is>
      </c>
      <c r="D404" s="7" t="inlineStr">
        <is>
          <t>1000+</t>
        </is>
      </c>
      <c r="E404" s="7" t="n">
        <v>1000</v>
      </c>
      <c r="F404" s="8" t="n">
        <v>1.1115</v>
      </c>
      <c r="G404" s="8" t="n">
        <v>0</v>
      </c>
      <c r="H404" s="8" t="n">
        <v>1.1115</v>
      </c>
      <c r="I404" s="9" t="inlineStr">
        <is>
          <t>Marfel (unico)</t>
        </is>
      </c>
      <c r="J404" s="8" t="n">
        <v>0.3</v>
      </c>
      <c r="K404" s="10">
        <f>H404+J404</f>
        <v/>
      </c>
      <c r="L404" s="11" t="n">
        <v>0.4</v>
      </c>
      <c r="M404" s="10">
        <f>K404*(1+L404)</f>
        <v/>
      </c>
      <c r="N404" s="7" t="inlineStr">
        <is>
          <t>já existia</t>
        </is>
      </c>
      <c r="O404" s="12" t="inlineStr">
        <is>
          <t>Sem custo cadastrado da Alquimia para esta gramatura — usado apenas o valor da Marfel.</t>
        </is>
      </c>
    </row>
    <row r="405">
      <c r="A405" s="6" t="inlineStr">
        <is>
          <t>Alça Vazada</t>
        </is>
      </c>
      <c r="B405" s="7" t="inlineStr">
        <is>
          <t>50x60</t>
        </is>
      </c>
      <c r="C405" s="7" t="inlineStr">
        <is>
          <t>0,10</t>
        </is>
      </c>
      <c r="D405" s="7" t="inlineStr">
        <is>
          <t>100–199</t>
        </is>
      </c>
      <c r="E405" s="7" t="n">
        <v>100</v>
      </c>
      <c r="F405" s="8" t="n">
        <v>0</v>
      </c>
      <c r="G405" s="8" t="n">
        <v>0.795</v>
      </c>
      <c r="H405" s="8" t="n">
        <v>0.795</v>
      </c>
      <c r="I405" s="9" t="inlineStr">
        <is>
          <t>Alquimia (unico)</t>
        </is>
      </c>
      <c r="J405" s="8" t="n">
        <v>0.3</v>
      </c>
      <c r="K405" s="10">
        <f>H405+J405</f>
        <v/>
      </c>
      <c r="L405" s="11" t="n">
        <v>1</v>
      </c>
      <c r="M405" s="10">
        <f>K405*(1+L405)</f>
        <v/>
      </c>
      <c r="N405" s="7" t="inlineStr">
        <is>
          <t>já existia</t>
        </is>
      </c>
      <c r="O405" s="12" t="inlineStr">
        <is>
          <t>Sem custo cadastrado da Marfel para esta gramatura — usado apenas o valor da Alquimia.</t>
        </is>
      </c>
    </row>
    <row r="406">
      <c r="A406" s="6" t="inlineStr">
        <is>
          <t>Alça Vazada</t>
        </is>
      </c>
      <c r="B406" s="7" t="inlineStr">
        <is>
          <t>50x60</t>
        </is>
      </c>
      <c r="C406" s="7" t="inlineStr">
        <is>
          <t>0,10</t>
        </is>
      </c>
      <c r="D406" s="7" t="inlineStr">
        <is>
          <t>200–299</t>
        </is>
      </c>
      <c r="E406" s="7" t="n">
        <v>200</v>
      </c>
      <c r="F406" s="8" t="n">
        <v>0</v>
      </c>
      <c r="G406" s="8" t="n">
        <v>0.795</v>
      </c>
      <c r="H406" s="8" t="n">
        <v>0.795</v>
      </c>
      <c r="I406" s="9" t="inlineStr">
        <is>
          <t>Alquimia (unico)</t>
        </is>
      </c>
      <c r="J406" s="8" t="n">
        <v>0.3</v>
      </c>
      <c r="K406" s="10">
        <f>H406+J406</f>
        <v/>
      </c>
      <c r="L406" s="11" t="n">
        <v>0.75</v>
      </c>
      <c r="M406" s="10">
        <f>K406*(1+L406)</f>
        <v/>
      </c>
      <c r="N406" s="7" t="inlineStr">
        <is>
          <t>já existia</t>
        </is>
      </c>
      <c r="O406" s="12" t="inlineStr">
        <is>
          <t>Sem custo cadastrado da Marfel para esta gramatura — usado apenas o valor da Alquimia.</t>
        </is>
      </c>
    </row>
    <row r="407">
      <c r="A407" s="6" t="inlineStr">
        <is>
          <t>Alça Vazada</t>
        </is>
      </c>
      <c r="B407" s="7" t="inlineStr">
        <is>
          <t>50x60</t>
        </is>
      </c>
      <c r="C407" s="7" t="inlineStr">
        <is>
          <t>0,10</t>
        </is>
      </c>
      <c r="D407" s="7" t="inlineStr">
        <is>
          <t>300–399</t>
        </is>
      </c>
      <c r="E407" s="7" t="n">
        <v>300</v>
      </c>
      <c r="F407" s="8" t="n">
        <v>0</v>
      </c>
      <c r="G407" s="8" t="n">
        <v>0.795</v>
      </c>
      <c r="H407" s="8" t="n">
        <v>0.795</v>
      </c>
      <c r="I407" s="9" t="inlineStr">
        <is>
          <t>Alquimia (unico)</t>
        </is>
      </c>
      <c r="J407" s="8" t="n">
        <v>0.3</v>
      </c>
      <c r="K407" s="10">
        <f>H407+J407</f>
        <v/>
      </c>
      <c r="L407" s="11" t="n">
        <v>0.7</v>
      </c>
      <c r="M407" s="10">
        <f>K407*(1+L407)</f>
        <v/>
      </c>
      <c r="N407" s="7" t="inlineStr">
        <is>
          <t>já existia</t>
        </is>
      </c>
      <c r="O407" s="12" t="inlineStr">
        <is>
          <t>Sem custo cadastrado da Marfel para esta gramatura — usado apenas o valor da Alquimia.</t>
        </is>
      </c>
    </row>
    <row r="408">
      <c r="A408" s="6" t="inlineStr">
        <is>
          <t>Alça Vazada</t>
        </is>
      </c>
      <c r="B408" s="7" t="inlineStr">
        <is>
          <t>50x60</t>
        </is>
      </c>
      <c r="C408" s="7" t="inlineStr">
        <is>
          <t>0,10</t>
        </is>
      </c>
      <c r="D408" s="7" t="inlineStr">
        <is>
          <t>400–499</t>
        </is>
      </c>
      <c r="E408" s="7" t="n">
        <v>400</v>
      </c>
      <c r="F408" s="8" t="n">
        <v>0</v>
      </c>
      <c r="G408" s="8" t="n">
        <v>0.795</v>
      </c>
      <c r="H408" s="8" t="n">
        <v>0.795</v>
      </c>
      <c r="I408" s="9" t="inlineStr">
        <is>
          <t>Alquimia (unico)</t>
        </is>
      </c>
      <c r="J408" s="8" t="n">
        <v>0.3</v>
      </c>
      <c r="K408" s="10">
        <f>H408+J408</f>
        <v/>
      </c>
      <c r="L408" s="11" t="n">
        <v>0.65</v>
      </c>
      <c r="M408" s="10">
        <f>K408*(1+L408)</f>
        <v/>
      </c>
      <c r="N408" s="7" t="inlineStr">
        <is>
          <t>já existia</t>
        </is>
      </c>
      <c r="O408" s="12" t="inlineStr">
        <is>
          <t>Sem custo cadastrado da Marfel para esta gramatura — usado apenas o valor da Alquimia.</t>
        </is>
      </c>
    </row>
    <row r="409">
      <c r="A409" s="6" t="inlineStr">
        <is>
          <t>Alça Vazada</t>
        </is>
      </c>
      <c r="B409" s="7" t="inlineStr">
        <is>
          <t>50x60</t>
        </is>
      </c>
      <c r="C409" s="7" t="inlineStr">
        <is>
          <t>0,10</t>
        </is>
      </c>
      <c r="D409" s="7" t="inlineStr">
        <is>
          <t>500–599</t>
        </is>
      </c>
      <c r="E409" s="7" t="n">
        <v>500</v>
      </c>
      <c r="F409" s="8" t="n">
        <v>0</v>
      </c>
      <c r="G409" s="8" t="n">
        <v>0.795</v>
      </c>
      <c r="H409" s="8" t="n">
        <v>0.795</v>
      </c>
      <c r="I409" s="9" t="inlineStr">
        <is>
          <t>Alquimia (unico)</t>
        </is>
      </c>
      <c r="J409" s="8" t="n">
        <v>0.3</v>
      </c>
      <c r="K409" s="10">
        <f>H409+J409</f>
        <v/>
      </c>
      <c r="L409" s="11" t="n">
        <v>0.6</v>
      </c>
      <c r="M409" s="10">
        <f>K409*(1+L409)</f>
        <v/>
      </c>
      <c r="N409" s="7" t="inlineStr">
        <is>
          <t>já existia</t>
        </is>
      </c>
      <c r="O409" s="12" t="inlineStr">
        <is>
          <t>Sem custo cadastrado da Marfel para esta gramatura — usado apenas o valor da Alquimia.</t>
        </is>
      </c>
    </row>
    <row r="410">
      <c r="A410" s="6" t="inlineStr">
        <is>
          <t>Alça Vazada</t>
        </is>
      </c>
      <c r="B410" s="7" t="inlineStr">
        <is>
          <t>50x60</t>
        </is>
      </c>
      <c r="C410" s="7" t="inlineStr">
        <is>
          <t>0,10</t>
        </is>
      </c>
      <c r="D410" s="7" t="inlineStr">
        <is>
          <t>600–699</t>
        </is>
      </c>
      <c r="E410" s="7" t="n">
        <v>600</v>
      </c>
      <c r="F410" s="8" t="n">
        <v>0</v>
      </c>
      <c r="G410" s="8" t="n">
        <v>0.795</v>
      </c>
      <c r="H410" s="8" t="n">
        <v>0.795</v>
      </c>
      <c r="I410" s="9" t="inlineStr">
        <is>
          <t>Alquimia (unico)</t>
        </is>
      </c>
      <c r="J410" s="8" t="n">
        <v>0.3</v>
      </c>
      <c r="K410" s="10">
        <f>H410+J410</f>
        <v/>
      </c>
      <c r="L410" s="11" t="n">
        <v>0.57</v>
      </c>
      <c r="M410" s="10">
        <f>K410*(1+L410)</f>
        <v/>
      </c>
      <c r="N410" s="7" t="inlineStr">
        <is>
          <t>já existia</t>
        </is>
      </c>
      <c r="O410" s="12" t="inlineStr">
        <is>
          <t>Sem custo cadastrado da Marfel para esta gramatura — usado apenas o valor da Alquimia.</t>
        </is>
      </c>
    </row>
    <row r="411">
      <c r="A411" s="6" t="inlineStr">
        <is>
          <t>Alça Vazada</t>
        </is>
      </c>
      <c r="B411" s="7" t="inlineStr">
        <is>
          <t>50x60</t>
        </is>
      </c>
      <c r="C411" s="7" t="inlineStr">
        <is>
          <t>0,10</t>
        </is>
      </c>
      <c r="D411" s="7" t="inlineStr">
        <is>
          <t>700–799</t>
        </is>
      </c>
      <c r="E411" s="7" t="n">
        <v>700</v>
      </c>
      <c r="F411" s="8" t="n">
        <v>0</v>
      </c>
      <c r="G411" s="8" t="n">
        <v>0.795</v>
      </c>
      <c r="H411" s="8" t="n">
        <v>0.795</v>
      </c>
      <c r="I411" s="9" t="inlineStr">
        <is>
          <t>Alquimia (unico)</t>
        </is>
      </c>
      <c r="J411" s="8" t="n">
        <v>0.3</v>
      </c>
      <c r="K411" s="10">
        <f>H411+J411</f>
        <v/>
      </c>
      <c r="L411" s="11" t="n">
        <v>0.54</v>
      </c>
      <c r="M411" s="10">
        <f>K411*(1+L411)</f>
        <v/>
      </c>
      <c r="N411" s="7" t="inlineStr">
        <is>
          <t>já existia</t>
        </is>
      </c>
      <c r="O411" s="12" t="inlineStr">
        <is>
          <t>Sem custo cadastrado da Marfel para esta gramatura — usado apenas o valor da Alquimia.</t>
        </is>
      </c>
    </row>
    <row r="412">
      <c r="A412" s="6" t="inlineStr">
        <is>
          <t>Alça Vazada</t>
        </is>
      </c>
      <c r="B412" s="7" t="inlineStr">
        <is>
          <t>50x60</t>
        </is>
      </c>
      <c r="C412" s="7" t="inlineStr">
        <is>
          <t>0,10</t>
        </is>
      </c>
      <c r="D412" s="7" t="inlineStr">
        <is>
          <t>800–899</t>
        </is>
      </c>
      <c r="E412" s="7" t="n">
        <v>800</v>
      </c>
      <c r="F412" s="8" t="n">
        <v>0</v>
      </c>
      <c r="G412" s="8" t="n">
        <v>0.795</v>
      </c>
      <c r="H412" s="8" t="n">
        <v>0.795</v>
      </c>
      <c r="I412" s="9" t="inlineStr">
        <is>
          <t>Alquimia (unico)</t>
        </is>
      </c>
      <c r="J412" s="8" t="n">
        <v>0.3</v>
      </c>
      <c r="K412" s="10">
        <f>H412+J412</f>
        <v/>
      </c>
      <c r="L412" s="11" t="n">
        <v>0.51</v>
      </c>
      <c r="M412" s="10">
        <f>K412*(1+L412)</f>
        <v/>
      </c>
      <c r="N412" s="7" t="inlineStr">
        <is>
          <t>já existia</t>
        </is>
      </c>
      <c r="O412" s="12" t="inlineStr">
        <is>
          <t>Sem custo cadastrado da Marfel para esta gramatura — usado apenas o valor da Alquimia.</t>
        </is>
      </c>
    </row>
    <row r="413">
      <c r="A413" s="6" t="inlineStr">
        <is>
          <t>Alça Vazada</t>
        </is>
      </c>
      <c r="B413" s="7" t="inlineStr">
        <is>
          <t>50x60</t>
        </is>
      </c>
      <c r="C413" s="7" t="inlineStr">
        <is>
          <t>0,10</t>
        </is>
      </c>
      <c r="D413" s="7" t="inlineStr">
        <is>
          <t>900–999</t>
        </is>
      </c>
      <c r="E413" s="7" t="n">
        <v>900</v>
      </c>
      <c r="F413" s="8" t="n">
        <v>0</v>
      </c>
      <c r="G413" s="8" t="n">
        <v>0.795</v>
      </c>
      <c r="H413" s="8" t="n">
        <v>0.795</v>
      </c>
      <c r="I413" s="9" t="inlineStr">
        <is>
          <t>Alquimia (unico)</t>
        </is>
      </c>
      <c r="J413" s="8" t="n">
        <v>0.3</v>
      </c>
      <c r="K413" s="10">
        <f>H413+J413</f>
        <v/>
      </c>
      <c r="L413" s="11" t="n">
        <v>0.48</v>
      </c>
      <c r="M413" s="10">
        <f>K413*(1+L413)</f>
        <v/>
      </c>
      <c r="N413" s="7" t="inlineStr">
        <is>
          <t>já existia</t>
        </is>
      </c>
      <c r="O413" s="12" t="inlineStr">
        <is>
          <t>Sem custo cadastrado da Marfel para esta gramatura — usado apenas o valor da Alquimia.</t>
        </is>
      </c>
    </row>
    <row r="414">
      <c r="A414" s="6" t="inlineStr">
        <is>
          <t>Alça Vazada</t>
        </is>
      </c>
      <c r="B414" s="7" t="inlineStr">
        <is>
          <t>50x60</t>
        </is>
      </c>
      <c r="C414" s="7" t="inlineStr">
        <is>
          <t>0,10</t>
        </is>
      </c>
      <c r="D414" s="7" t="inlineStr">
        <is>
          <t>1000+</t>
        </is>
      </c>
      <c r="E414" s="7" t="n">
        <v>1000</v>
      </c>
      <c r="F414" s="8" t="n">
        <v>0</v>
      </c>
      <c r="G414" s="8" t="n">
        <v>0.795</v>
      </c>
      <c r="H414" s="8" t="n">
        <v>0.795</v>
      </c>
      <c r="I414" s="9" t="inlineStr">
        <is>
          <t>Alquimia (unico)</t>
        </is>
      </c>
      <c r="J414" s="8" t="n">
        <v>0.3</v>
      </c>
      <c r="K414" s="10">
        <f>H414+J414</f>
        <v/>
      </c>
      <c r="L414" s="11" t="n">
        <v>0.4</v>
      </c>
      <c r="M414" s="10">
        <f>K414*(1+L414)</f>
        <v/>
      </c>
      <c r="N414" s="7" t="inlineStr">
        <is>
          <t>já existia</t>
        </is>
      </c>
      <c r="O414" s="12" t="inlineStr">
        <is>
          <t>Sem custo cadastrado da Marfel para esta gramatura — usado apenas o valor da Alquimia.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6" customWidth="1" min="4" max="4"/>
  </cols>
  <sheetData>
    <row r="1">
      <c r="A1" s="5" t="inlineStr">
        <is>
          <t>TAMANHOS E GRAMATURAS NOVOS — a partir de 'Tabela MARFEL V01JUN26.pdf'</t>
        </is>
      </c>
    </row>
    <row r="2">
      <c r="A2" s="4" t="inlineStr">
        <is>
          <t>Estes produtos a Marfel vende mas não estavam cadastrados no nosso sistema antes desta revisão.</t>
        </is>
      </c>
    </row>
    <row r="4">
      <c r="A4" s="1" t="inlineStr">
        <is>
          <t>Produto</t>
        </is>
      </c>
      <c r="B4" s="1" t="inlineStr">
        <is>
          <t>Tamanho</t>
        </is>
      </c>
      <c r="C4" s="1" t="inlineStr">
        <is>
          <t>Gramatura</t>
        </is>
      </c>
      <c r="D4" s="1" t="inlineStr">
        <is>
          <t>Situação</t>
        </is>
      </c>
    </row>
    <row r="5">
      <c r="A5" s="20" t="inlineStr">
        <is>
          <t>Alça Camiseta</t>
        </is>
      </c>
      <c r="B5" s="20" t="inlineStr">
        <is>
          <t>25x35</t>
        </is>
      </c>
      <c r="C5" s="20" t="inlineStr">
        <is>
          <t>0,04</t>
        </is>
      </c>
      <c r="D5" s="20" t="inlineStr">
        <is>
          <t>Sem custo cadastrado da Alquimia para esta gramatura — usado apenas o valor da Marfel.</t>
        </is>
      </c>
    </row>
    <row r="6">
      <c r="A6" s="20" t="inlineStr">
        <is>
          <t>Alça Camiseta</t>
        </is>
      </c>
      <c r="B6" s="20" t="inlineStr">
        <is>
          <t>35x45</t>
        </is>
      </c>
      <c r="C6" s="20" t="inlineStr">
        <is>
          <t>0,05</t>
        </is>
      </c>
      <c r="D6" s="20" t="inlineStr">
        <is>
          <t>Sem custo cadastrado da Alquimia para esta gramatura — usado apenas o valor da Marfel.</t>
        </is>
      </c>
    </row>
    <row r="7">
      <c r="A7" s="20" t="inlineStr">
        <is>
          <t>Alça Camiseta</t>
        </is>
      </c>
      <c r="B7" s="20" t="inlineStr">
        <is>
          <t>50x60</t>
        </is>
      </c>
      <c r="C7" s="20" t="inlineStr">
        <is>
          <t>0,06</t>
        </is>
      </c>
      <c r="D7" s="20" t="inlineStr">
        <is>
          <t>Sem custo cadastrado da Alquimia para esta gramatura — usado apenas o valor da Marfel.</t>
        </is>
      </c>
    </row>
    <row r="8">
      <c r="A8" s="20" t="inlineStr">
        <is>
          <t>Alça Camiseta</t>
        </is>
      </c>
      <c r="B8" s="20" t="inlineStr">
        <is>
          <t>70x90</t>
        </is>
      </c>
      <c r="C8" s="20" t="inlineStr">
        <is>
          <t>0,07</t>
        </is>
      </c>
      <c r="D8" s="20" t="inlineStr">
        <is>
          <t>Sem custo cadastrado da Alquimia para esta gramatura — usado apenas o valor da Marfel.</t>
        </is>
      </c>
    </row>
    <row r="9">
      <c r="A9" s="20" t="inlineStr">
        <is>
          <t>Alça Camiseta</t>
        </is>
      </c>
      <c r="B9" s="20" t="inlineStr">
        <is>
          <t>90x100</t>
        </is>
      </c>
      <c r="C9" s="20" t="inlineStr">
        <is>
          <t>0,07</t>
        </is>
      </c>
      <c r="D9" s="20" t="inlineStr">
        <is>
          <t>Sem custo cadastrado da Alquimia para esta gramatura — usado apenas o valor da Marfel.</t>
        </is>
      </c>
    </row>
    <row r="10">
      <c r="A10" s="20" t="inlineStr">
        <is>
          <t>Alça Vazada</t>
        </is>
      </c>
      <c r="B10" s="20" t="inlineStr">
        <is>
          <t>16x22</t>
        </is>
      </c>
      <c r="C10" s="20" t="inlineStr">
        <is>
          <t>0,10</t>
        </is>
      </c>
      <c r="D10" s="20" t="inlineStr">
        <is>
          <t>Sem custo cadastrado da Alquimia para esta gramatura — usado apenas o valor da Marfel.</t>
        </is>
      </c>
    </row>
    <row r="11">
      <c r="A11" s="20" t="inlineStr">
        <is>
          <t>Alça Vazada</t>
        </is>
      </c>
      <c r="B11" s="20" t="inlineStr">
        <is>
          <t>20x30</t>
        </is>
      </c>
      <c r="C11" s="20" t="inlineStr">
        <is>
          <t>0,06</t>
        </is>
      </c>
      <c r="D11" s="20" t="inlineStr">
        <is>
          <t>Sem custo cadastrado da Alquimia para esta gramatura — usado apenas o valor da Marfel.</t>
        </is>
      </c>
    </row>
    <row r="12">
      <c r="A12" s="20" t="inlineStr">
        <is>
          <t>Alça Vazada</t>
        </is>
      </c>
      <c r="B12" s="20" t="inlineStr">
        <is>
          <t>20x30</t>
        </is>
      </c>
      <c r="C12" s="20" t="inlineStr">
        <is>
          <t>0,12</t>
        </is>
      </c>
      <c r="D12" s="20" t="inlineStr">
        <is>
          <t>Sem custo cadastrado da Alquimia para esta gramatura — usado apenas o valor da Marfel.</t>
        </is>
      </c>
    </row>
    <row r="13">
      <c r="A13" s="20" t="inlineStr">
        <is>
          <t>Alça Vazada</t>
        </is>
      </c>
      <c r="B13" s="20" t="inlineStr">
        <is>
          <t>25x35</t>
        </is>
      </c>
      <c r="C13" s="20" t="inlineStr">
        <is>
          <t>0,06</t>
        </is>
      </c>
      <c r="D13" s="20" t="inlineStr">
        <is>
          <t>Sem custo cadastrado da Alquimia para esta gramatura — usado apenas o valor da Marfel.</t>
        </is>
      </c>
    </row>
    <row r="14">
      <c r="A14" s="20" t="inlineStr">
        <is>
          <t>Alça Vazada</t>
        </is>
      </c>
      <c r="B14" s="20" t="inlineStr">
        <is>
          <t>25x35</t>
        </is>
      </c>
      <c r="C14" s="20" t="inlineStr">
        <is>
          <t>0,12</t>
        </is>
      </c>
      <c r="D14" s="20" t="inlineStr">
        <is>
          <t>Sem custo cadastrado da Alquimia para esta gramatura — usado apenas o valor da Marfel.</t>
        </is>
      </c>
    </row>
    <row r="15">
      <c r="A15" s="20" t="inlineStr">
        <is>
          <t>Alça Vazada</t>
        </is>
      </c>
      <c r="B15" s="20" t="inlineStr">
        <is>
          <t>30x40</t>
        </is>
      </c>
      <c r="C15" s="20" t="inlineStr">
        <is>
          <t>0,06</t>
        </is>
      </c>
      <c r="D15" s="20" t="inlineStr">
        <is>
          <t>Sem custo cadastrado da Alquimia para esta gramatura — usado apenas o valor da Marfel.</t>
        </is>
      </c>
    </row>
    <row r="16">
      <c r="A16" s="20" t="inlineStr">
        <is>
          <t>Alça Vazada</t>
        </is>
      </c>
      <c r="B16" s="20" t="inlineStr">
        <is>
          <t>30x40</t>
        </is>
      </c>
      <c r="C16" s="20" t="inlineStr">
        <is>
          <t>0,10</t>
        </is>
      </c>
      <c r="D16" s="20" t="inlineStr">
        <is>
          <t>Sem custo cadastrado da Alquimia para esta gramatura — usado apenas o valor da Marfel.</t>
        </is>
      </c>
    </row>
    <row r="17">
      <c r="A17" s="20" t="inlineStr">
        <is>
          <t>Alça Vazada</t>
        </is>
      </c>
      <c r="B17" s="20" t="inlineStr">
        <is>
          <t>30x40</t>
        </is>
      </c>
      <c r="C17" s="20" t="inlineStr">
        <is>
          <t>0,12</t>
        </is>
      </c>
      <c r="D17" s="20" t="inlineStr">
        <is>
          <t>Sem custo cadastrado da Alquimia para esta gramatura — usado apenas o valor da Marfel.</t>
        </is>
      </c>
    </row>
    <row r="18">
      <c r="A18" s="20" t="inlineStr">
        <is>
          <t>Alça Vazada</t>
        </is>
      </c>
      <c r="B18" s="20" t="inlineStr">
        <is>
          <t>36x48</t>
        </is>
      </c>
      <c r="C18" s="20" t="inlineStr">
        <is>
          <t>0,06</t>
        </is>
      </c>
      <c r="D18" s="20" t="inlineStr">
        <is>
          <t>Sem custo cadastrado da Alquimia para esta gramatura — usado apenas o valor da Marfel.</t>
        </is>
      </c>
    </row>
    <row r="19">
      <c r="A19" s="20" t="inlineStr">
        <is>
          <t>Alça Vazada</t>
        </is>
      </c>
      <c r="B19" s="20" t="inlineStr">
        <is>
          <t>36x48</t>
        </is>
      </c>
      <c r="C19" s="20" t="inlineStr">
        <is>
          <t>0,09</t>
        </is>
      </c>
      <c r="D19" s="20" t="inlineStr">
        <is>
          <t>Sem custo cadastrado da Alquimia para esta gramatura — usado apenas o valor da Marfel.</t>
        </is>
      </c>
    </row>
    <row r="20">
      <c r="A20" s="20" t="inlineStr">
        <is>
          <t>Alça Vazada</t>
        </is>
      </c>
      <c r="B20" s="20" t="inlineStr">
        <is>
          <t>36x48</t>
        </is>
      </c>
      <c r="C20" s="20" t="inlineStr">
        <is>
          <t>0,12</t>
        </is>
      </c>
      <c r="D20" s="20" t="inlineStr">
        <is>
          <t>Sem custo cadastrado da Alquimia para esta gramatura — usado apenas o valor da Marfel.</t>
        </is>
      </c>
    </row>
    <row r="21">
      <c r="A21" s="20" t="inlineStr">
        <is>
          <t>Alça Vazada</t>
        </is>
      </c>
      <c r="B21" s="20" t="inlineStr">
        <is>
          <t>40x50</t>
        </is>
      </c>
      <c r="C21" s="20" t="inlineStr">
        <is>
          <t>0,12</t>
        </is>
      </c>
      <c r="D21" s="20" t="inlineStr">
        <is>
          <t>Sem custo cadastrado da Alquimia para esta gramatura — usado apenas o valor da Marfel.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INCONSISTÊNCIAS IDENTIFICADAS</t>
        </is>
      </c>
    </row>
    <row r="3">
      <c r="A3" s="21" t="inlineStr">
        <is>
          <t>Produto / Gramatura</t>
        </is>
      </c>
      <c r="B3" s="21" t="inlineStr">
        <is>
          <t>Descrição</t>
        </is>
      </c>
    </row>
    <row r="4" ht="45" customHeight="1">
      <c r="A4" s="6" t="inlineStr">
        <is>
          <t>Alça Camiseta 25x35 — 0,04g</t>
        </is>
      </c>
      <c r="B4" s="6" t="inlineStr">
        <is>
          <t>Sem custo cadastrado da Alquimia para esta gramatura — usado apenas o valor da Marfel.</t>
        </is>
      </c>
      <c r="C4" s="22" t="n"/>
      <c r="D4" s="22" t="n"/>
    </row>
    <row r="5" ht="45" customHeight="1">
      <c r="A5" s="6" t="inlineStr">
        <is>
          <t>Alça Camiseta 30x40 — 0,04-0,06g</t>
        </is>
      </c>
      <c r="B5" s="6" t="inlineStr">
        <is>
          <t>Sem custo cadastrado da Marfel para esta gramatura — usado apenas o valor da Alquimia. Gramatura cadastrada como faixa ("0,04-0,06") e não um valor único — confirmar com o fornecedor a gramatura exata.</t>
        </is>
      </c>
      <c r="C5" s="22" t="n"/>
      <c r="D5" s="22" t="n"/>
    </row>
    <row r="6" ht="45" customHeight="1">
      <c r="A6" s="6" t="inlineStr">
        <is>
          <t>Alça Camiseta 30x40 — 0,05g</t>
        </is>
      </c>
      <c r="B6" s="6" t="inlineStr">
        <is>
          <t>Sem custo cadastrado da Alquimia para esta gramatura — usado apenas o valor da Marfel.</t>
        </is>
      </c>
      <c r="C6" s="22" t="n"/>
      <c r="D6" s="22" t="n"/>
    </row>
    <row r="7" ht="45" customHeight="1">
      <c r="A7" s="6" t="inlineStr">
        <is>
          <t>Alça Camiseta 30x40 — 0,06g</t>
        </is>
      </c>
      <c r="B7" s="6" t="inlineStr">
        <is>
          <t>Sem custo cadastrado da Marfel para esta gramatura — usado apenas o valor da Alquimia.</t>
        </is>
      </c>
      <c r="C7" s="22" t="n"/>
      <c r="D7" s="22" t="n"/>
    </row>
    <row r="8" ht="45" customHeight="1">
      <c r="A8" s="6" t="inlineStr">
        <is>
          <t>Alça Camiseta 35x45 — 0,05g</t>
        </is>
      </c>
      <c r="B8" s="6" t="inlineStr">
        <is>
          <t>Sem custo cadastrado da Alquimia para esta gramatura — usado apenas o valor da Marfel.</t>
        </is>
      </c>
      <c r="C8" s="22" t="n"/>
      <c r="D8" s="22" t="n"/>
    </row>
    <row r="9" ht="45" customHeight="1">
      <c r="A9" s="6" t="inlineStr">
        <is>
          <t>Alça Camiseta 40x50 — 0,06g</t>
        </is>
      </c>
      <c r="B9" s="6" t="inlineStr">
        <is>
          <t>Sem custo cadastrado da Marfel para esta gramatura — usado apenas o valor da Alquimia.</t>
        </is>
      </c>
      <c r="C9" s="22" t="n"/>
      <c r="D9" s="22" t="n"/>
    </row>
    <row r="10" ht="45" customHeight="1">
      <c r="A10" s="6" t="inlineStr">
        <is>
          <t>Alça Camiseta 45x60 — 0,06g</t>
        </is>
      </c>
      <c r="B10" s="6" t="inlineStr">
        <is>
          <t>Sem custo cadastrado da Marfel para esta gramatura — usado apenas o valor da Alquimia.</t>
        </is>
      </c>
      <c r="C10" s="22" t="n"/>
      <c r="D10" s="22" t="n"/>
    </row>
    <row r="11" ht="45" customHeight="1">
      <c r="A11" s="6" t="inlineStr">
        <is>
          <t>Alça Camiseta 50x60 — 0,06g</t>
        </is>
      </c>
      <c r="B11" s="6" t="inlineStr">
        <is>
          <t>Sem custo cadastrado da Alquimia para esta gramatura — usado apenas o valor da Marfel.</t>
        </is>
      </c>
      <c r="C11" s="22" t="n"/>
      <c r="D11" s="22" t="n"/>
    </row>
    <row r="12" ht="45" customHeight="1">
      <c r="A12" s="6" t="inlineStr">
        <is>
          <t>Alça Camiseta 60x80 — 0,06g</t>
        </is>
      </c>
      <c r="B12" s="6" t="inlineStr">
        <is>
          <t>Sem custo cadastrado da Alquimia para esta gramatura — usado apenas o valor da Marfel.</t>
        </is>
      </c>
      <c r="C12" s="22" t="n"/>
      <c r="D12" s="22" t="n"/>
    </row>
    <row r="13" ht="45" customHeight="1">
      <c r="A13" s="6" t="inlineStr">
        <is>
          <t>Alça Camiseta 60x80 — 0,07g</t>
        </is>
      </c>
      <c r="B13" s="6" t="inlineStr">
        <is>
          <t>Sem custo cadastrado da Marfel para esta gramatura — usado apenas o valor da Alquimia.</t>
        </is>
      </c>
      <c r="C13" s="22" t="n"/>
      <c r="D13" s="22" t="n"/>
    </row>
    <row r="14" ht="45" customHeight="1">
      <c r="A14" s="6" t="inlineStr">
        <is>
          <t>Alça Camiseta 70x90 — 0,07g</t>
        </is>
      </c>
      <c r="B14" s="6" t="inlineStr">
        <is>
          <t>Sem custo cadastrado da Alquimia para esta gramatura — usado apenas o valor da Marfel.</t>
        </is>
      </c>
      <c r="C14" s="22" t="n"/>
      <c r="D14" s="22" t="n"/>
    </row>
    <row r="15" ht="45" customHeight="1">
      <c r="A15" s="6" t="inlineStr">
        <is>
          <t>Alça Camiseta 90x100 — 0,07g</t>
        </is>
      </c>
      <c r="B15" s="6" t="inlineStr">
        <is>
          <t>Sem custo cadastrado da Alquimia para esta gramatura — usado apenas o valor da Marfel.</t>
        </is>
      </c>
      <c r="C15" s="22" t="n"/>
      <c r="D15" s="22" t="n"/>
    </row>
    <row r="16" ht="45" customHeight="1">
      <c r="A16" s="6" t="inlineStr">
        <is>
          <t>Alça Fita 30x45 — 0,13g</t>
        </is>
      </c>
      <c r="B16" s="6" t="inlineStr">
        <is>
          <t>Sem custo cadastrado da Alquimia para esta gramatura — usado apenas o valor da Marfel.</t>
        </is>
      </c>
      <c r="C16" s="22" t="n"/>
      <c r="D16" s="22" t="n"/>
    </row>
    <row r="17" ht="45" customHeight="1">
      <c r="A17" s="6" t="inlineStr">
        <is>
          <t>Alça Fita 40x50 — 0,13g</t>
        </is>
      </c>
      <c r="B17" s="6" t="inlineStr">
        <is>
          <t>Sem custo cadastrado da Alquimia para esta gramatura — usado apenas o valor da Marfel.</t>
        </is>
      </c>
      <c r="C17" s="22" t="n"/>
      <c r="D17" s="22" t="n"/>
    </row>
    <row r="18" ht="45" customHeight="1">
      <c r="A18" s="6" t="inlineStr">
        <is>
          <t>Alça Fita 45x55 — 0,13g</t>
        </is>
      </c>
      <c r="B18" s="6" t="inlineStr">
        <is>
          <t>Sem custo cadastrado da Alquimia para esta gramatura — usado apenas o valor da Marfel.</t>
        </is>
      </c>
      <c r="C18" s="22" t="n"/>
      <c r="D18" s="22" t="n"/>
    </row>
    <row r="19" ht="45" customHeight="1">
      <c r="A19" s="6" t="inlineStr">
        <is>
          <t>Alça Vazada 16x22 — 0,10g</t>
        </is>
      </c>
      <c r="B19" s="6" t="inlineStr">
        <is>
          <t>Sem custo cadastrado da Alquimia para esta gramatura — usado apenas o valor da Marfel.</t>
        </is>
      </c>
      <c r="C19" s="22" t="n"/>
      <c r="D19" s="22" t="n"/>
    </row>
    <row r="20" ht="45" customHeight="1">
      <c r="A20" s="6" t="inlineStr">
        <is>
          <t>Alça Vazada 20x30 — 0,06g</t>
        </is>
      </c>
      <c r="B20" s="6" t="inlineStr">
        <is>
          <t>Sem custo cadastrado da Alquimia para esta gramatura — usado apenas o valor da Marfel.</t>
        </is>
      </c>
      <c r="C20" s="22" t="n"/>
      <c r="D20" s="22" t="n"/>
    </row>
    <row r="21" ht="45" customHeight="1">
      <c r="A21" s="6" t="inlineStr">
        <is>
          <t>Alça Vazada 20x30 — 0,12g</t>
        </is>
      </c>
      <c r="B21" s="6" t="inlineStr">
        <is>
          <t>Sem custo cadastrado da Alquimia para esta gramatura — usado apenas o valor da Marfel.</t>
        </is>
      </c>
      <c r="C21" s="22" t="n"/>
      <c r="D21" s="22" t="n"/>
    </row>
    <row r="22" ht="45" customHeight="1">
      <c r="A22" s="6" t="inlineStr">
        <is>
          <t>Alça Vazada 25x35 — 0,06g</t>
        </is>
      </c>
      <c r="B22" s="6" t="inlineStr">
        <is>
          <t>Sem custo cadastrado da Alquimia para esta gramatura — usado apenas o valor da Marfel.</t>
        </is>
      </c>
      <c r="C22" s="22" t="n"/>
      <c r="D22" s="22" t="n"/>
    </row>
    <row r="23" ht="45" customHeight="1">
      <c r="A23" s="6" t="inlineStr">
        <is>
          <t>Alça Vazada 25x35 — 0,12g</t>
        </is>
      </c>
      <c r="B23" s="6" t="inlineStr">
        <is>
          <t>Sem custo cadastrado da Alquimia para esta gramatura — usado apenas o valor da Marfel.</t>
        </is>
      </c>
      <c r="C23" s="22" t="n"/>
      <c r="D23" s="22" t="n"/>
    </row>
    <row r="24" ht="45" customHeight="1">
      <c r="A24" s="6" t="inlineStr">
        <is>
          <t>Alça Vazada 30x40 — 0,06g</t>
        </is>
      </c>
      <c r="B24" s="6" t="inlineStr">
        <is>
          <t>Sem custo cadastrado da Alquimia para esta gramatura — usado apenas o valor da Marfel.</t>
        </is>
      </c>
      <c r="C24" s="22" t="n"/>
      <c r="D24" s="22" t="n"/>
    </row>
    <row r="25" ht="45" customHeight="1">
      <c r="A25" s="6" t="inlineStr">
        <is>
          <t>Alça Vazada 30x40 — 0,10g</t>
        </is>
      </c>
      <c r="B25" s="6" t="inlineStr">
        <is>
          <t>Sem custo cadastrado da Alquimia para esta gramatura — usado apenas o valor da Marfel.</t>
        </is>
      </c>
      <c r="C25" s="22" t="n"/>
      <c r="D25" s="22" t="n"/>
    </row>
    <row r="26" ht="45" customHeight="1">
      <c r="A26" s="6" t="inlineStr">
        <is>
          <t>Alça Vazada 30x40 — 0,12g</t>
        </is>
      </c>
      <c r="B26" s="6" t="inlineStr">
        <is>
          <t>Sem custo cadastrado da Alquimia para esta gramatura — usado apenas o valor da Marfel.</t>
        </is>
      </c>
      <c r="C26" s="22" t="n"/>
      <c r="D26" s="22" t="n"/>
    </row>
    <row r="27" ht="45" customHeight="1">
      <c r="A27" s="6" t="inlineStr">
        <is>
          <t>Alça Vazada 36x48 — 0,06g</t>
        </is>
      </c>
      <c r="B27" s="6" t="inlineStr">
        <is>
          <t>Sem custo cadastrado da Alquimia para esta gramatura — usado apenas o valor da Marfel.</t>
        </is>
      </c>
      <c r="C27" s="22" t="n"/>
      <c r="D27" s="22" t="n"/>
    </row>
    <row r="28" ht="45" customHeight="1">
      <c r="A28" s="6" t="inlineStr">
        <is>
          <t>Alça Vazada 36x48 — 0,09g</t>
        </is>
      </c>
      <c r="B28" s="6" t="inlineStr">
        <is>
          <t>Sem custo cadastrado da Alquimia para esta gramatura — usado apenas o valor da Marfel.</t>
        </is>
      </c>
      <c r="C28" s="22" t="n"/>
      <c r="D28" s="22" t="n"/>
    </row>
    <row r="29" ht="45" customHeight="1">
      <c r="A29" s="6" t="inlineStr">
        <is>
          <t>Alça Vazada 36x48 — 0,12g</t>
        </is>
      </c>
      <c r="B29" s="6" t="inlineStr">
        <is>
          <t>Sem custo cadastrado da Alquimia para esta gramatura — usado apenas o valor da Marfel.</t>
        </is>
      </c>
      <c r="C29" s="22" t="n"/>
      <c r="D29" s="22" t="n"/>
    </row>
    <row r="30" ht="45" customHeight="1">
      <c r="A30" s="6" t="inlineStr">
        <is>
          <t>Alça Vazada 40x50 — 0,08g</t>
        </is>
      </c>
      <c r="B30" s="6" t="inlineStr">
        <is>
          <t>Sem custo cadastrado da Marfel para esta gramatura — usado apenas o valor da Alquimia.</t>
        </is>
      </c>
      <c r="C30" s="22" t="n"/>
      <c r="D30" s="22" t="n"/>
    </row>
    <row r="31" ht="45" customHeight="1">
      <c r="A31" s="6" t="inlineStr">
        <is>
          <t>Alça Vazada 40x50 — 0,10g</t>
        </is>
      </c>
      <c r="B31" s="6" t="inlineStr">
        <is>
          <t>Sem custo cadastrado da Alquimia para esta gramatura — usado apenas o valor da Marfel.</t>
        </is>
      </c>
      <c r="C31" s="22" t="n"/>
      <c r="D31" s="22" t="n"/>
    </row>
    <row r="32" ht="45" customHeight="1">
      <c r="A32" s="6" t="inlineStr">
        <is>
          <t>Alça Vazada 40x50 — 0,12g</t>
        </is>
      </c>
      <c r="B32" s="6" t="inlineStr">
        <is>
          <t>Sem custo cadastrado da Alquimia para esta gramatura — usado apenas o valor da Marfel.</t>
        </is>
      </c>
      <c r="C32" s="22" t="n"/>
      <c r="D32" s="22" t="n"/>
    </row>
    <row r="33" ht="45" customHeight="1">
      <c r="A33" s="6" t="inlineStr">
        <is>
          <t>Alça Vazada 45x60 — 0,12g</t>
        </is>
      </c>
      <c r="B33" s="6" t="inlineStr">
        <is>
          <t>Sem custo cadastrado da Alquimia para esta gramatura — usado apenas o valor da Marfel.</t>
        </is>
      </c>
      <c r="C33" s="22" t="n"/>
      <c r="D33" s="22" t="n"/>
    </row>
    <row r="34" ht="45" customHeight="1">
      <c r="A34" s="6" t="inlineStr">
        <is>
          <t>Alça Vazada 50x60 — 0,10g</t>
        </is>
      </c>
      <c r="B34" s="6" t="inlineStr">
        <is>
          <t>Sem custo cadastrado da Marfel para esta gramatura — usado apenas o valor da Alquimia.</t>
        </is>
      </c>
      <c r="C34" s="22" t="n"/>
      <c r="D34" s="22" t="n"/>
    </row>
    <row r="36">
      <c r="A36" s="5" t="inlineStr">
        <is>
          <t>Resumo da revisão</t>
        </is>
      </c>
    </row>
    <row r="37" ht="26" customHeight="1">
      <c r="A37" s="23" t="inlineStr">
        <is>
          <t>✔ 41 grupos Modelo+Tamanho+Gramatura no total, 410 linhas de preço.</t>
        </is>
      </c>
    </row>
    <row r="38" ht="26" customHeight="1">
      <c r="A38" s="23" t="inlineStr">
        <is>
          <t>✔ 17 grupos novos incluídos a partir da 'Tabela MARFEL V01JUN26.pdf' (25 novos custos Marfel cadastrados: 5 tamanhos 100% novos de Camiseta, 2 de Vazada, e várias gramaturas novas para tamanhos já existentes).</t>
        </is>
      </c>
    </row>
    <row r="39" ht="26" customHeight="1">
      <c r="A39" s="23" t="inlineStr">
        <is>
          <t>✔ Nenhum preço de grupo já existente mudou — os custos Marfel já cadastrados anteriormente batem com a tabela V01JUN26 (nenhuma divergência de preço encontrada nos itens que já tínhamos).</t>
        </is>
      </c>
    </row>
    <row r="40" ht="26" customHeight="1">
      <c r="A40" s="23" t="inlineStr">
        <is>
          <t>✔ Alça Fita: conferida linha por linha contra a tabela Marfel — 100% já estava correta e completa, nenhuma novidade.</t>
        </is>
      </c>
    </row>
    <row r="41" ht="26" customHeight="1">
      <c r="A41" s="23" t="inlineStr">
        <is>
          <t>✔ Maior custo entre Marfel e Alquimia usado em toda linha (nunca média, nunca o menor). Acréscimo de R$0,30/un aplicado antes da margem. Percentuais fixos aplicados na ordem certa.</t>
        </is>
      </c>
    </row>
    <row r="42" ht="26" customHeight="1">
      <c r="A42" s="23" t="inlineStr">
        <is>
          <t>⚠ 31 linhas de grupo com custo de apenas 1 fornecedor (sinalizadas em amarelo).</t>
        </is>
      </c>
    </row>
  </sheetData>
  <mergeCells count="39">
    <mergeCell ref="B11:D11"/>
    <mergeCell ref="B14:D14"/>
    <mergeCell ref="B23:D23"/>
    <mergeCell ref="B8:D8"/>
    <mergeCell ref="A38:D38"/>
    <mergeCell ref="B17:D17"/>
    <mergeCell ref="B13:D13"/>
    <mergeCell ref="B29:D29"/>
    <mergeCell ref="B34:D34"/>
    <mergeCell ref="B10:D10"/>
    <mergeCell ref="B28:D28"/>
    <mergeCell ref="A40:D40"/>
    <mergeCell ref="B19:D19"/>
    <mergeCell ref="A39:D39"/>
    <mergeCell ref="B9:D9"/>
    <mergeCell ref="B30:D30"/>
    <mergeCell ref="B15:D15"/>
    <mergeCell ref="B6:D6"/>
    <mergeCell ref="B24:D24"/>
    <mergeCell ref="B20:D20"/>
    <mergeCell ref="B33:D33"/>
    <mergeCell ref="A1:D1"/>
    <mergeCell ref="B5:D5"/>
    <mergeCell ref="B32:D32"/>
    <mergeCell ref="B4:D4"/>
    <mergeCell ref="B26:D26"/>
    <mergeCell ref="A41:D41"/>
    <mergeCell ref="B7:D7"/>
    <mergeCell ref="B25:D25"/>
    <mergeCell ref="B16:D16"/>
    <mergeCell ref="A37:D37"/>
    <mergeCell ref="B3:D3"/>
    <mergeCell ref="B31:D31"/>
    <mergeCell ref="B22:D22"/>
    <mergeCell ref="B18:D18"/>
    <mergeCell ref="B27:D27"/>
    <mergeCell ref="B21:D21"/>
    <mergeCell ref="B12:D12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2026-07-02T00:46:07Z</dcterms:created>
  <dcterms:modified xmlns:dcterms="http://purl.org/dc/terms/" xmlns:xsi="http://www.w3.org/2001/XMLSchema-instance" xsi:type="dcterms:W3CDTF">2026-07-02T00:46:09Z</dcterms:modified>
</cp:coreProperties>
</file>